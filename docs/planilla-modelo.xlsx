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gos_Aportes" sheetId="2" state="visible" r:id="rId4"/>
    <sheet name="Costos_Compras" sheetId="3" state="visible" r:id="rId5"/>
    <sheet name="Ventas_Ingresos" sheetId="4" state="visible" r:id="rId6"/>
    <sheet name="Resumen_Soc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<sst xmlns="http://schemas.openxmlformats.org/spreadsheetml/2006/main" count="111" uniqueCount="101">
  <si>
    <t xml:space="preserve">Sistema de Gestión Financiera — Empresa Importadora de Señuelos</t>
  </si>
  <si>
    <t xml:space="preserve">Plantilla base sin costo de software. Diseñada para escalar a un ERP o base de datos en el futuro.</t>
  </si>
  <si>
    <t xml:space="preserve">1. Convención de IDs</t>
  </si>
  <si>
    <t xml:space="preserve">Cada fila de Pagos_Aportes, Costos_Compras y Ventas_Ingresos tiene un ID único (ID0001, ID0002...). Ese mismo ID va como prefijo del nombre del archivo del comprobante en Drive/Dropbox. Ej: fila ID0007 -&gt; archivo '2026-08-27_ID0007_transferencia_socio1.pdf'.</t>
  </si>
  <si>
    <t xml:space="preserve">2. Dónde van los archivos</t>
  </si>
  <si>
    <t xml:space="preserve">Los comprobantes (fotos, PDF) NO se pegan en el Excel. Se guardan en una carpeta de Drive/Dropbox organizada por año/mes. En la columna 'Comprobante (archivo)' se escribe el nombre del archivo (o se pega el link de Drive si lo comparten).</t>
  </si>
  <si>
    <t xml:space="preserve">3. Celdas amarillas</t>
  </si>
  <si>
    <t xml:space="preserve">Son las únicas celdas donde deben escribir datos manualmente. El resto son fórmulas: no las sobrescriban o se rompen los cálculos.</t>
  </si>
  <si>
    <t xml:space="preserve">4. Texto azul</t>
  </si>
  <si>
    <t xml:space="preserve">Son valores de referencia/configuración (ej: % de reparto 65/35, cotización del dólar). Se editan en la hoja Resumen_Socios.</t>
  </si>
  <si>
    <t xml:space="preserve">5. Pagos_Aportes</t>
  </si>
  <si>
    <t xml:space="preserve">Cargar TODO lo que sale de la empresa: pagos al proveedor de China, gastos operativos, impuestos, comisiones, etc. La planilla calcula automáticamente cuánto le correspondía aportar a cada socio (65/35) vs. cuánto aportó realmente, y arrastra el saldo entre ambos.</t>
  </si>
  <si>
    <t xml:space="preserve">6. Costos_Compras</t>
  </si>
  <si>
    <t xml:space="preserve">Detalle de cada factura del proveedor de China: qué se compró, cantidad, precio, para tener trazabilidad de mercadería (no solo de plata). Se vincula a Pagos_Aportes por el ID de pago.</t>
  </si>
  <si>
    <t xml:space="preserve">7. Ventas_Ingresos</t>
  </si>
  <si>
    <t xml:space="preserve">Cada venta de señuelos: fecha, cliente/canal, producto, cantidad, precio, medio de pago, comprobante.</t>
  </si>
  <si>
    <t xml:space="preserve">8. Resumen_Socios</t>
  </si>
  <si>
    <t xml:space="preserve">El tablero: total aportado por cada socio vs. lo que le correspondía, saldo pendiente entre ustedes, y el reparto de ganancia 65/35 sobre el resultado del período.</t>
  </si>
  <si>
    <t xml:space="preserve">9. Cómo migrar a futuro</t>
  </si>
  <si>
    <t xml:space="preserve">Cada hoja está pensada como una tabla de base de datos (una fila = un registro, con ID único). El día que quieran pasar a Google Sheets + Apps Script, Airtable, o un ERP (Tango, Xubio, Contabilium), estas mismas columnas se importan directo sin rehacer la estructura.</t>
  </si>
  <si>
    <t xml:space="preserve">PAGOS Y APORTES — Todo lo que sale de la empresa</t>
  </si>
  <si>
    <t xml:space="preserve">Cargar cada pago realizado. Las columnas J a M se calculan solas según el % de reparto definido en Resumen_Socios.</t>
  </si>
  <si>
    <t xml:space="preserve">ID</t>
  </si>
  <si>
    <t xml:space="preserve">Fecha</t>
  </si>
  <si>
    <t xml:space="preserve">Descripción / Concepto</t>
  </si>
  <si>
    <t xml:space="preserve">Categoría</t>
  </si>
  <si>
    <t xml:space="preserve">Moneda
origen</t>
  </si>
  <si>
    <t xml:space="preserve">Monto
original</t>
  </si>
  <si>
    <t xml:space="preserve">Cotización
usada (ARS)</t>
  </si>
  <si>
    <t xml:space="preserve">Monto Total
(ARS)</t>
  </si>
  <si>
    <t xml:space="preserve">Pagó
(Socio1/Socio2)</t>
  </si>
  <si>
    <t xml:space="preserve">Corresponde
Socio1 (ARS)</t>
  </si>
  <si>
    <t xml:space="preserve">Corresponde
Socio2 (ARS)</t>
  </si>
  <si>
    <t xml:space="preserve">Aportó
Socio1 (ARS)</t>
  </si>
  <si>
    <t xml:space="preserve">Aportó
Socio2 (ARS)</t>
  </si>
  <si>
    <t xml:space="preserve">Comprobante
(archivo/link)</t>
  </si>
  <si>
    <t xml:space="preserve">Estado</t>
  </si>
  <si>
    <t xml:space="preserve">Notas</t>
  </si>
  <si>
    <t xml:space="preserve">2026-08-27</t>
  </si>
  <si>
    <t xml:space="preserve">Pago factura proveedor China - Pedido #45</t>
  </si>
  <si>
    <t xml:space="preserve">Importación</t>
  </si>
  <si>
    <t xml:space="preserve">USD</t>
  </si>
  <si>
    <t xml:space="preserve">Socio1</t>
  </si>
  <si>
    <t xml:space="preserve">2026-08-27_ID0001_transferencia_proveedorChina.pdf</t>
  </si>
  <si>
    <t xml:space="preserve">Pagado</t>
  </si>
  <si>
    <t xml:space="preserve">Anticipo pedido señuelos</t>
  </si>
  <si>
    <t xml:space="preserve">TOTALES</t>
  </si>
  <si>
    <t xml:space="preserve">COSTOS / COMPRAS AL PROVEEDOR (detalle de mercadería)</t>
  </si>
  <si>
    <t xml:space="preserve">Detalle de cada factura de China. El ID_Pago vincula esta fila con la hoja Pagos_Aportes.</t>
  </si>
  <si>
    <t xml:space="preserve">Proveedor</t>
  </si>
  <si>
    <t xml:space="preserve">N° Factura
proveedor</t>
  </si>
  <si>
    <t xml:space="preserve">ID_Pago
(vínculo)</t>
  </si>
  <si>
    <t xml:space="preserve">Producto / Ítem</t>
  </si>
  <si>
    <t xml:space="preserve">Cantidad</t>
  </si>
  <si>
    <t xml:space="preserve">Precio unit.
(USD)</t>
  </si>
  <si>
    <t xml:space="preserve">Total
(USD)</t>
  </si>
  <si>
    <t xml:space="preserve">Comprobante
factura (archivo)</t>
  </si>
  <si>
    <t xml:space="preserve">Estado envío</t>
  </si>
  <si>
    <t xml:space="preserve">Proveedor Yiwu Fishing Co.</t>
  </si>
  <si>
    <t xml:space="preserve">INV-2026-045</t>
  </si>
  <si>
    <t xml:space="preserve">ID0001</t>
  </si>
  <si>
    <t xml:space="preserve">Señuelo cuchara 7cm - surtido colores</t>
  </si>
  <si>
    <t xml:space="preserve">2026-08-27_ID0001_factura_proveedor_pedido45.pdf</t>
  </si>
  <si>
    <t xml:space="preserve">En tránsito</t>
  </si>
  <si>
    <t xml:space="preserve">Contenedor consolidado</t>
  </si>
  <si>
    <t xml:space="preserve">TOTAL USD</t>
  </si>
  <si>
    <t xml:space="preserve">VENTAS / INGRESOS</t>
  </si>
  <si>
    <t xml:space="preserve">Cada venta de señuelos, sea online, mayorista o local.</t>
  </si>
  <si>
    <t xml:space="preserve">Cliente / Canal</t>
  </si>
  <si>
    <t xml:space="preserve">Producto</t>
  </si>
  <si>
    <t xml:space="preserve">Precio
unit. (ARS)</t>
  </si>
  <si>
    <t xml:space="preserve">Total
(ARS)</t>
  </si>
  <si>
    <t xml:space="preserve">Medio de pago</t>
  </si>
  <si>
    <t xml:space="preserve">Comprobante
(archivo)</t>
  </si>
  <si>
    <t xml:space="preserve">Pesca Total (mayorista)</t>
  </si>
  <si>
    <t xml:space="preserve">Señuelo cuchara 7cm</t>
  </si>
  <si>
    <t xml:space="preserve">Transferencia</t>
  </si>
  <si>
    <t xml:space="preserve">2026-08-27_ID0001_recibo_venta.pdf</t>
  </si>
  <si>
    <t xml:space="preserve">Cobrado</t>
  </si>
  <si>
    <t xml:space="preserve">Primer pedido mayorista</t>
  </si>
  <si>
    <t xml:space="preserve">TOTAL VENTAS</t>
  </si>
  <si>
    <t xml:space="preserve">RESUMEN DE SOCIOS Y REPARTO</t>
  </si>
  <si>
    <t xml:space="preserve">Configurar acá el % de reparto (celdas amarillas). Todo lo demás se calcula solo.</t>
  </si>
  <si>
    <t xml:space="preserve">% Socio 1</t>
  </si>
  <si>
    <t xml:space="preserve">% Socio 2</t>
  </si>
  <si>
    <t xml:space="preserve">Verificación (debe sumar 100%)</t>
  </si>
  <si>
    <t xml:space="preserve">APORTES REALIZADOS (según Pagos_Aportes)</t>
  </si>
  <si>
    <t xml:space="preserve">Socio 1</t>
  </si>
  <si>
    <t xml:space="preserve">Socio 2</t>
  </si>
  <si>
    <t xml:space="preserve">Total</t>
  </si>
  <si>
    <t xml:space="preserve">Le correspondía aportar (ARS)</t>
  </si>
  <si>
    <t xml:space="preserve">Aportó realmente (ARS)</t>
  </si>
  <si>
    <t xml:space="preserve">Saldo (aportó - correspondía)</t>
  </si>
  <si>
    <t xml:space="preserve">Interpretación del saldo:</t>
  </si>
  <si>
    <t xml:space="preserve">Si el saldo de un socio es POSITIVO, significa que puso de más y el otro socio le debe esa diferencia (o se descuenta del próximo pago que le toque hacer).</t>
  </si>
  <si>
    <t xml:space="preserve">RESULTADO DEL PERÍODO Y REPARTO DE GANANCIA</t>
  </si>
  <si>
    <t xml:space="preserve">Total Ingresos (Ventas)</t>
  </si>
  <si>
    <t xml:space="preserve">Total Costos/Pagos (Pagos_Aportes)</t>
  </si>
  <si>
    <t xml:space="preserve">Ganancia / Pérdida neta</t>
  </si>
  <si>
    <t xml:space="preserve">Corresponde a Socio 1 (según %)</t>
  </si>
  <si>
    <t xml:space="preserve">Corresponde a Socio 2 (según %)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</si>
</sst>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.00"/>
    <numFmt numFmtId="167" formatCode="\$#,##0;&quot;($&quot;#,##0\);\-"/>
    <numFmt numFmtId="168" formatCode="General"/>
    <numFmt numFmtId="169" formatCode="\$#,##0.00"/>
    <numFmt numFmtId="170" formatCode="\$#,##0.00;&quot;($&quot;#,##0.00\);\-"/>
    <numFmt numFmtId="171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  <c r="C9" s="4"/>
      <c r="D9" s="4"/>
      <c r="E9" s="4"/>
      <c r="F9" s="4"/>
      <c r="G9" s="4"/>
      <c r="H9" s="4"/>
    </row>
    <row r="11" customFormat="false" ht="15" hidden="false" customHeight="false" outlineLevel="0" collapsed="false">
      <c r="B11" s="3" t="s">
        <v>6</v>
      </c>
    </row>
    <row r="12" customFormat="false" ht="45" hidden="false" customHeight="true" outlineLevel="0" collapsed="false">
      <c r="B12" s="4" t="s">
        <v>7</v>
      </c>
      <c r="C12" s="4"/>
      <c r="D12" s="4"/>
      <c r="E12" s="4"/>
      <c r="F12" s="4"/>
      <c r="G12" s="4"/>
      <c r="H12" s="4"/>
    </row>
    <row r="14" customFormat="false" ht="15" hidden="false" customHeight="false" outlineLevel="0" collapsed="false">
      <c r="B14" s="3" t="s">
        <v>8</v>
      </c>
    </row>
    <row r="15" customFormat="false" ht="45" hidden="false" customHeight="true" outlineLevel="0" collapsed="false">
      <c r="B15" s="4" t="s">
        <v>9</v>
      </c>
      <c r="C15" s="4"/>
      <c r="D15" s="4"/>
      <c r="E15" s="4"/>
      <c r="F15" s="4"/>
      <c r="G15" s="4"/>
      <c r="H15" s="4"/>
    </row>
    <row r="17" customFormat="false" ht="15" hidden="false" customHeight="false" outlineLevel="0" collapsed="false">
      <c r="B17" s="3" t="s">
        <v>10</v>
      </c>
    </row>
    <row r="18" customFormat="false" ht="45" hidden="false" customHeight="true" outlineLevel="0" collapsed="false">
      <c r="B18" s="4" t="s">
        <v>11</v>
      </c>
      <c r="C18" s="4"/>
      <c r="D18" s="4"/>
      <c r="E18" s="4"/>
      <c r="F18" s="4"/>
      <c r="G18" s="4"/>
      <c r="H18" s="4"/>
    </row>
    <row r="20" customFormat="false" ht="15" hidden="false" customHeight="false" outlineLevel="0" collapsed="false">
      <c r="B20" s="3" t="s">
        <v>12</v>
      </c>
    </row>
    <row r="21" customFormat="false" ht="45" hidden="false" customHeight="true" outlineLevel="0" collapsed="false">
      <c r="B21" s="4" t="s">
        <v>13</v>
      </c>
      <c r="C21" s="4"/>
      <c r="D21" s="4"/>
      <c r="E21" s="4"/>
      <c r="F21" s="4"/>
      <c r="G21" s="4"/>
      <c r="H21" s="4"/>
    </row>
    <row r="23" customFormat="false" ht="15" hidden="false" customHeight="false" outlineLevel="0" collapsed="false">
      <c r="B23" s="3" t="s">
        <v>14</v>
      </c>
    </row>
    <row r="24" customFormat="false" ht="45" hidden="false" customHeight="true" outlineLevel="0" collapsed="false">
      <c r="B24" s="4" t="s">
        <v>15</v>
      </c>
      <c r="C24" s="4"/>
      <c r="D24" s="4"/>
      <c r="E24" s="4"/>
      <c r="F24" s="4"/>
      <c r="G24" s="4"/>
      <c r="H24" s="4"/>
    </row>
    <row r="26" customFormat="false" ht="15" hidden="false" customHeight="false" outlineLevel="0" collapsed="false">
      <c r="B26" s="3" t="s">
        <v>16</v>
      </c>
    </row>
    <row r="27" customFormat="false" ht="45" hidden="false" customHeight="true" outlineLevel="0" collapsed="false">
      <c r="B27" s="4" t="s">
        <v>17</v>
      </c>
      <c r="C27" s="4"/>
      <c r="D27" s="4"/>
      <c r="E27" s="4"/>
      <c r="F27" s="4"/>
      <c r="G27" s="4"/>
      <c r="H27" s="4"/>
    </row>
    <row r="29" customFormat="false" ht="15" hidden="false" customHeight="false" outlineLevel="0" collapsed="false">
      <c r="B29" s="3" t="s">
        <v>18</v>
      </c>
    </row>
    <row r="30" customFormat="false" ht="45" hidden="false" customHeight="true" outlineLevel="0" collapsed="false">
      <c r="B30" s="4" t="s">
        <v>19</v>
      </c>
      <c r="C30" s="4"/>
      <c r="D30" s="4"/>
      <c r="E30" s="4"/>
      <c r="F30" s="4"/>
      <c r="G30" s="4"/>
      <c r="H30" s="4"/>
    </row>
  </sheetData>
  <mergeCells count="9">
    <mergeCell ref="B6:H6"/>
    <mergeCell ref="B9:H9"/>
    <mergeCell ref="B12:H12"/>
    <mergeCell ref="B15:H15"/>
    <mergeCell ref="B18:H18"/>
    <mergeCell ref="B21:H21"/>
    <mergeCell ref="B24:H24"/>
    <mergeCell ref="B27:H27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3" min="8" style="0" width="13"/>
    <col collapsed="false" customWidth="true" hidden="false" outlineLevel="0" max="14" min="14" style="0" width="30"/>
    <col collapsed="false" customWidth="true" hidden="false" outlineLevel="0" max="15" min="15" style="0" width="11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customFormat="false" ht="30" hidden="false" customHeight="true" outlineLevel="0" collapsed="false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30</v>
      </c>
      <c r="J4" s="7" t="s">
        <v>31</v>
      </c>
      <c r="K4" s="7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37</v>
      </c>
    </row>
    <row r="5" customFormat="false" ht="15" hidden="false" customHeight="false" outlineLevel="0" collapsed="false">
      <c r="A5" s="8" t="str">
        <f aca="false">IF(C5="","","ID"&amp;TEXT(ROW()-4,"0000"))</f>
        <v>ID0001</v>
      </c>
      <c r="B5" s="9" t="s">
        <v>38</v>
      </c>
      <c r="C5" s="10" t="s">
        <v>39</v>
      </c>
      <c r="D5" s="10" t="s">
        <v>40</v>
      </c>
      <c r="E5" s="10" t="s">
        <v>41</v>
      </c>
      <c r="F5" s="11" t="n">
        <v>1000</v>
      </c>
      <c r="G5" s="11" t="n">
        <v>1300</v>
      </c>
      <c r="H5" s="12" t="n">
        <f aca="false">F5*G5</f>
        <v>1300000</v>
      </c>
      <c r="I5" s="10" t="s">
        <v>42</v>
      </c>
      <c r="J5" s="12" t="n">
        <f aca="false">$H5*Resumen_Socios!$D$5</f>
        <v>845000</v>
      </c>
      <c r="K5" s="12" t="n">
        <f aca="false">$H5*Resumen_Socios!$D$6</f>
        <v>455000</v>
      </c>
      <c r="L5" s="12" t="n">
        <f aca="false">IF(I5="Socio1",H5,0)</f>
        <v>1300000</v>
      </c>
      <c r="M5" s="12" t="n">
        <f aca="false">IF(I5="Socio2",H5,0)</f>
        <v>0</v>
      </c>
      <c r="N5" s="10" t="s">
        <v>43</v>
      </c>
      <c r="O5" s="10" t="s">
        <v>44</v>
      </c>
      <c r="P5" s="10" t="s">
        <v>45</v>
      </c>
    </row>
    <row r="6" customFormat="false" ht="15" hidden="false" customHeight="false" outlineLevel="0" collapsed="false">
      <c r="A6" s="8" t="str">
        <f aca="false">IF(C6="","","ID"&amp;TEXT(ROW()-4,"0000"))</f>
        <v/>
      </c>
      <c r="B6" s="9"/>
      <c r="C6" s="10"/>
      <c r="D6" s="10"/>
      <c r="E6" s="10"/>
      <c r="F6" s="10"/>
      <c r="G6" s="10"/>
      <c r="H6" s="12" t="str">
        <f aca="false">IF(C6="","",F6*G6)</f>
        <v/>
      </c>
      <c r="I6" s="10"/>
      <c r="J6" s="12" t="str">
        <f aca="false">IF(C6="","",$H6*Resumen_Socios!$D$5)</f>
        <v/>
      </c>
      <c r="K6" s="12" t="str">
        <f aca="false">IF(C6="","",$H6*Resumen_Socios!$D$6)</f>
        <v/>
      </c>
      <c r="L6" s="12" t="str">
        <f aca="false">IF(C6="","",IF(I6="Socio1",H6,0))</f>
        <v/>
      </c>
      <c r="M6" s="12" t="str">
        <f aca="false">IF(C6="","",IF(I6="Socio2",H6,0))</f>
        <v/>
      </c>
      <c r="N6" s="10"/>
      <c r="O6" s="10"/>
      <c r="P6" s="10"/>
    </row>
    <row r="7" customFormat="false" ht="15" hidden="false" customHeight="false" outlineLevel="0" collapsed="false">
      <c r="A7" s="8" t="str">
        <f aca="false">IF(C7="","","ID"&amp;TEXT(ROW()-4,"0000"))</f>
        <v/>
      </c>
      <c r="B7" s="9"/>
      <c r="C7" s="10"/>
      <c r="D7" s="10"/>
      <c r="E7" s="10"/>
      <c r="F7" s="10"/>
      <c r="G7" s="10"/>
      <c r="H7" s="12" t="str">
        <f aca="false">IF(C7="","",F7*G7)</f>
        <v/>
      </c>
      <c r="I7" s="10"/>
      <c r="J7" s="12" t="str">
        <f aca="false">IF(C7="","",$H7*Resumen_Socios!$D$5)</f>
        <v/>
      </c>
      <c r="K7" s="12" t="str">
        <f aca="false">IF(C7="","",$H7*Resumen_Socios!$D$6)</f>
        <v/>
      </c>
      <c r="L7" s="12" t="str">
        <f aca="false">IF(C7="","",IF(I7="Socio1",H7,0))</f>
        <v/>
      </c>
      <c r="M7" s="12" t="str">
        <f aca="false">IF(C7="","",IF(I7="Socio2",H7,0))</f>
        <v/>
      </c>
      <c r="N7" s="10"/>
      <c r="O7" s="10"/>
      <c r="P7" s="10"/>
    </row>
    <row r="8" customFormat="false" ht="15" hidden="false" customHeight="false" outlineLevel="0" collapsed="false">
      <c r="A8" s="8" t="str">
        <f aca="false">IF(C8="","","ID"&amp;TEXT(ROW()-4,"0000"))</f>
        <v/>
      </c>
      <c r="B8" s="9"/>
      <c r="C8" s="10"/>
      <c r="D8" s="10"/>
      <c r="E8" s="10"/>
      <c r="F8" s="10"/>
      <c r="G8" s="10"/>
      <c r="H8" s="12" t="str">
        <f aca="false">IF(C8="","",F8*G8)</f>
        <v/>
      </c>
      <c r="I8" s="10"/>
      <c r="J8" s="12" t="str">
        <f aca="false">IF(C8="","",$H8*Resumen_Socios!$D$5)</f>
        <v/>
      </c>
      <c r="K8" s="12" t="str">
        <f aca="false">IF(C8="","",$H8*Resumen_Socios!$D$6)</f>
        <v/>
      </c>
      <c r="L8" s="12" t="str">
        <f aca="false">IF(C8="","",IF(I8="Socio1",H8,0))</f>
        <v/>
      </c>
      <c r="M8" s="12" t="str">
        <f aca="false">IF(C8="","",IF(I8="Socio2",H8,0))</f>
        <v/>
      </c>
      <c r="N8" s="10"/>
      <c r="O8" s="10"/>
      <c r="P8" s="10"/>
    </row>
    <row r="9" customFormat="false" ht="15" hidden="false" customHeight="false" outlineLevel="0" collapsed="false">
      <c r="A9" s="8" t="str">
        <f aca="false">IF(C9="","","ID"&amp;TEXT(ROW()-4,"0000"))</f>
        <v/>
      </c>
      <c r="B9" s="9"/>
      <c r="C9" s="10"/>
      <c r="D9" s="10"/>
      <c r="E9" s="10"/>
      <c r="F9" s="10"/>
      <c r="G9" s="10"/>
      <c r="H9" s="12" t="str">
        <f aca="false">IF(C9="","",F9*G9)</f>
        <v/>
      </c>
      <c r="I9" s="10"/>
      <c r="J9" s="12" t="str">
        <f aca="false">IF(C9="","",$H9*Resumen_Socios!$D$5)</f>
        <v/>
      </c>
      <c r="K9" s="12" t="str">
        <f aca="false">IF(C9="","",$H9*Resumen_Socios!$D$6)</f>
        <v/>
      </c>
      <c r="L9" s="12" t="str">
        <f aca="false">IF(C9="","",IF(I9="Socio1",H9,0))</f>
        <v/>
      </c>
      <c r="M9" s="12" t="str">
        <f aca="false">IF(C9="","",IF(I9="Socio2",H9,0))</f>
        <v/>
      </c>
      <c r="N9" s="10"/>
      <c r="O9" s="10"/>
      <c r="P9" s="10"/>
    </row>
    <row r="10" customFormat="false" ht="15" hidden="false" customHeight="false" outlineLevel="0" collapsed="false">
      <c r="A10" s="8" t="str">
        <f aca="false">IF(C10="","","ID"&amp;TEXT(ROW()-4,"0000"))</f>
        <v/>
      </c>
      <c r="B10" s="9"/>
      <c r="C10" s="10"/>
      <c r="D10" s="10"/>
      <c r="E10" s="10"/>
      <c r="F10" s="10"/>
      <c r="G10" s="10"/>
      <c r="H10" s="12" t="str">
        <f aca="false">IF(C10="","",F10*G10)</f>
        <v/>
      </c>
      <c r="I10" s="10"/>
      <c r="J10" s="12" t="str">
        <f aca="false">IF(C10="","",$H10*Resumen_Socios!$D$5)</f>
        <v/>
      </c>
      <c r="K10" s="12" t="str">
        <f aca="false">IF(C10="","",$H10*Resumen_Socios!$D$6)</f>
        <v/>
      </c>
      <c r="L10" s="12" t="str">
        <f aca="false">IF(C10="","",IF(I10="Socio1",H10,0))</f>
        <v/>
      </c>
      <c r="M10" s="12" t="str">
        <f aca="false">IF(C10="","",IF(I10="Socio2",H10,0))</f>
        <v/>
      </c>
      <c r="N10" s="10"/>
      <c r="O10" s="10"/>
      <c r="P10" s="10"/>
    </row>
    <row r="11" customFormat="false" ht="15" hidden="false" customHeight="false" outlineLevel="0" collapsed="false">
      <c r="A11" s="8" t="str">
        <f aca="false">IF(C11="","","ID"&amp;TEXT(ROW()-4,"0000"))</f>
        <v/>
      </c>
      <c r="B11" s="9"/>
      <c r="C11" s="10"/>
      <c r="D11" s="10"/>
      <c r="E11" s="10"/>
      <c r="F11" s="10"/>
      <c r="G11" s="10"/>
      <c r="H11" s="12" t="str">
        <f aca="false">IF(C11="","",F11*G11)</f>
        <v/>
      </c>
      <c r="I11" s="10"/>
      <c r="J11" s="12" t="str">
        <f aca="false">IF(C11="","",$H11*Resumen_Socios!$D$5)</f>
        <v/>
      </c>
      <c r="K11" s="12" t="str">
        <f aca="false">IF(C11="","",$H11*Resumen_Socios!$D$6)</f>
        <v/>
      </c>
      <c r="L11" s="12" t="str">
        <f aca="false">IF(C11="","",IF(I11="Socio1",H11,0))</f>
        <v/>
      </c>
      <c r="M11" s="12" t="str">
        <f aca="false">IF(C11="","",IF(I11="Socio2",H11,0))</f>
        <v/>
      </c>
      <c r="N11" s="10"/>
      <c r="O11" s="10"/>
      <c r="P11" s="10"/>
    </row>
    <row r="12" customFormat="false" ht="15" hidden="false" customHeight="false" outlineLevel="0" collapsed="false">
      <c r="A12" s="8" t="str">
        <f aca="false">IF(C12="","","ID"&amp;TEXT(ROW()-4,"0000"))</f>
        <v/>
      </c>
      <c r="B12" s="9"/>
      <c r="C12" s="10"/>
      <c r="D12" s="10"/>
      <c r="E12" s="10"/>
      <c r="F12" s="10"/>
      <c r="G12" s="10"/>
      <c r="H12" s="12" t="str">
        <f aca="false">IF(C12="","",F12*G12)</f>
        <v/>
      </c>
      <c r="I12" s="10"/>
      <c r="J12" s="12" t="str">
        <f aca="false">IF(C12="","",$H12*Resumen_Socios!$D$5)</f>
        <v/>
      </c>
      <c r="K12" s="12" t="str">
        <f aca="false">IF(C12="","",$H12*Resumen_Socios!$D$6)</f>
        <v/>
      </c>
      <c r="L12" s="12" t="str">
        <f aca="false">IF(C12="","",IF(I12="Socio1",H12,0))</f>
        <v/>
      </c>
      <c r="M12" s="12" t="str">
        <f aca="false">IF(C12="","",IF(I12="Socio2",H12,0))</f>
        <v/>
      </c>
      <c r="N12" s="10"/>
      <c r="O12" s="10"/>
      <c r="P12" s="10"/>
    </row>
    <row r="13" customFormat="false" ht="15" hidden="false" customHeight="false" outlineLevel="0" collapsed="false">
      <c r="A13" s="8" t="str">
        <f aca="false">IF(C13="","","ID"&amp;TEXT(ROW()-4,"0000"))</f>
        <v/>
      </c>
      <c r="B13" s="9"/>
      <c r="C13" s="10"/>
      <c r="D13" s="10"/>
      <c r="E13" s="10"/>
      <c r="F13" s="10"/>
      <c r="G13" s="10"/>
      <c r="H13" s="12" t="str">
        <f aca="false">IF(C13="","",F13*G13)</f>
        <v/>
      </c>
      <c r="I13" s="10"/>
      <c r="J13" s="12" t="str">
        <f aca="false">IF(C13="","",$H13*Resumen_Socios!$D$5)</f>
        <v/>
      </c>
      <c r="K13" s="12" t="str">
        <f aca="false">IF(C13="","",$H13*Resumen_Socios!$D$6)</f>
        <v/>
      </c>
      <c r="L13" s="12" t="str">
        <f aca="false">IF(C13="","",IF(I13="Socio1",H13,0))</f>
        <v/>
      </c>
      <c r="M13" s="12" t="str">
        <f aca="false">IF(C13="","",IF(I13="Socio2",H13,0))</f>
        <v/>
      </c>
      <c r="N13" s="10"/>
      <c r="O13" s="10"/>
      <c r="P13" s="10"/>
    </row>
    <row r="14" customFormat="false" ht="15" hidden="false" customHeight="false" outlineLevel="0" collapsed="false">
      <c r="A14" s="8" t="str">
        <f aca="false">IF(C14="","","ID"&amp;TEXT(ROW()-4,"0000"))</f>
        <v/>
      </c>
      <c r="B14" s="9"/>
      <c r="C14" s="10"/>
      <c r="D14" s="10"/>
      <c r="E14" s="10"/>
      <c r="F14" s="10"/>
      <c r="G14" s="10"/>
      <c r="H14" s="12" t="str">
        <f aca="false">IF(C14="","",F14*G14)</f>
        <v/>
      </c>
      <c r="I14" s="10"/>
      <c r="J14" s="12" t="str">
        <f aca="false">IF(C14="","",$H14*Resumen_Socios!$D$5)</f>
        <v/>
      </c>
      <c r="K14" s="12" t="str">
        <f aca="false">IF(C14="","",$H14*Resumen_Socios!$D$6)</f>
        <v/>
      </c>
      <c r="L14" s="12" t="str">
        <f aca="false">IF(C14="","",IF(I14="Socio1",H14,0))</f>
        <v/>
      </c>
      <c r="M14" s="12" t="str">
        <f aca="false">IF(C14="","",IF(I14="Socio2",H14,0))</f>
        <v/>
      </c>
      <c r="N14" s="10"/>
      <c r="O14" s="10"/>
      <c r="P14" s="10"/>
    </row>
    <row r="15" customFormat="false" ht="15" hidden="false" customHeight="false" outlineLevel="0" collapsed="false">
      <c r="A15" s="8" t="str">
        <f aca="false">IF(C15="","","ID"&amp;TEXT(ROW()-4,"0000"))</f>
        <v/>
      </c>
      <c r="B15" s="9"/>
      <c r="C15" s="10"/>
      <c r="D15" s="10"/>
      <c r="E15" s="10"/>
      <c r="F15" s="10"/>
      <c r="G15" s="10"/>
      <c r="H15" s="12" t="str">
        <f aca="false">IF(C15="","",F15*G15)</f>
        <v/>
      </c>
      <c r="I15" s="10"/>
      <c r="J15" s="12" t="str">
        <f aca="false">IF(C15="","",$H15*Resumen_Socios!$D$5)</f>
        <v/>
      </c>
      <c r="K15" s="12" t="str">
        <f aca="false">IF(C15="","",$H15*Resumen_Socios!$D$6)</f>
        <v/>
      </c>
      <c r="L15" s="12" t="str">
        <f aca="false">IF(C15="","",IF(I15="Socio1",H15,0))</f>
        <v/>
      </c>
      <c r="M15" s="12" t="str">
        <f aca="false">IF(C15="","",IF(I15="Socio2",H15,0))</f>
        <v/>
      </c>
      <c r="N15" s="10"/>
      <c r="O15" s="10"/>
      <c r="P15" s="10"/>
    </row>
    <row r="16" customFormat="false" ht="15" hidden="false" customHeight="false" outlineLevel="0" collapsed="false">
      <c r="A16" s="8" t="str">
        <f aca="false">IF(C16="","","ID"&amp;TEXT(ROW()-4,"0000"))</f>
        <v/>
      </c>
      <c r="B16" s="9"/>
      <c r="C16" s="10"/>
      <c r="D16" s="10"/>
      <c r="E16" s="10"/>
      <c r="F16" s="10"/>
      <c r="G16" s="10"/>
      <c r="H16" s="12" t="str">
        <f aca="false">IF(C16="","",F16*G16)</f>
        <v/>
      </c>
      <c r="I16" s="10"/>
      <c r="J16" s="12" t="str">
        <f aca="false">IF(C16="","",$H16*Resumen_Socios!$D$5)</f>
        <v/>
      </c>
      <c r="K16" s="12" t="str">
        <f aca="false">IF(C16="","",$H16*Resumen_Socios!$D$6)</f>
        <v/>
      </c>
      <c r="L16" s="12" t="str">
        <f aca="false">IF(C16="","",IF(I16="Socio1",H16,0))</f>
        <v/>
      </c>
      <c r="M16" s="12" t="str">
        <f aca="false">IF(C16="","",IF(I16="Socio2",H16,0))</f>
        <v/>
      </c>
      <c r="N16" s="10"/>
      <c r="O16" s="10"/>
      <c r="P16" s="10"/>
    </row>
    <row r="17" customFormat="false" ht="15" hidden="false" customHeight="false" outlineLevel="0" collapsed="false">
      <c r="A17" s="8" t="str">
        <f aca="false">IF(C17="","","ID"&amp;TEXT(ROW()-4,"0000"))</f>
        <v/>
      </c>
      <c r="B17" s="9"/>
      <c r="C17" s="10"/>
      <c r="D17" s="10"/>
      <c r="E17" s="10"/>
      <c r="F17" s="10"/>
      <c r="G17" s="10"/>
      <c r="H17" s="12" t="str">
        <f aca="false">IF(C17="","",F17*G17)</f>
        <v/>
      </c>
      <c r="I17" s="10"/>
      <c r="J17" s="12" t="str">
        <f aca="false">IF(C17="","",$H17*Resumen_Socios!$D$5)</f>
        <v/>
      </c>
      <c r="K17" s="12" t="str">
        <f aca="false">IF(C17="","",$H17*Resumen_Socios!$D$6)</f>
        <v/>
      </c>
      <c r="L17" s="12" t="str">
        <f aca="false">IF(C17="","",IF(I17="Socio1",H17,0))</f>
        <v/>
      </c>
      <c r="M17" s="12" t="str">
        <f aca="false">IF(C17="","",IF(I17="Socio2",H17,0))</f>
        <v/>
      </c>
      <c r="N17" s="10"/>
      <c r="O17" s="10"/>
      <c r="P17" s="10"/>
    </row>
    <row r="18" customFormat="false" ht="15" hidden="false" customHeight="false" outlineLevel="0" collapsed="false">
      <c r="A18" s="8" t="str">
        <f aca="false">IF(C18="","","ID"&amp;TEXT(ROW()-4,"0000"))</f>
        <v/>
      </c>
      <c r="B18" s="9"/>
      <c r="C18" s="10"/>
      <c r="D18" s="10"/>
      <c r="E18" s="10"/>
      <c r="F18" s="10"/>
      <c r="G18" s="10"/>
      <c r="H18" s="12" t="str">
        <f aca="false">IF(C18="","",F18*G18)</f>
        <v/>
      </c>
      <c r="I18" s="10"/>
      <c r="J18" s="12" t="str">
        <f aca="false">IF(C18="","",$H18*Resumen_Socios!$D$5)</f>
        <v/>
      </c>
      <c r="K18" s="12" t="str">
        <f aca="false">IF(C18="","",$H18*Resumen_Socios!$D$6)</f>
        <v/>
      </c>
      <c r="L18" s="12" t="str">
        <f aca="false">IF(C18="","",IF(I18="Socio1",H18,0))</f>
        <v/>
      </c>
      <c r="M18" s="12" t="str">
        <f aca="false">IF(C18="","",IF(I18="Socio2",H18,0))</f>
        <v/>
      </c>
      <c r="N18" s="10"/>
      <c r="O18" s="10"/>
      <c r="P18" s="10"/>
    </row>
    <row r="19" customFormat="false" ht="15" hidden="false" customHeight="false" outlineLevel="0" collapsed="false">
      <c r="A19" s="8" t="str">
        <f aca="false">IF(C19="","","ID"&amp;TEXT(ROW()-4,"0000"))</f>
        <v/>
      </c>
      <c r="B19" s="9"/>
      <c r="C19" s="10"/>
      <c r="D19" s="10"/>
      <c r="E19" s="10"/>
      <c r="F19" s="10"/>
      <c r="G19" s="10"/>
      <c r="H19" s="12" t="str">
        <f aca="false">IF(C19="","",F19*G19)</f>
        <v/>
      </c>
      <c r="I19" s="10"/>
      <c r="J19" s="12" t="str">
        <f aca="false">IF(C19="","",$H19*Resumen_Socios!$D$5)</f>
        <v/>
      </c>
      <c r="K19" s="12" t="str">
        <f aca="false">IF(C19="","",$H19*Resumen_Socios!$D$6)</f>
        <v/>
      </c>
      <c r="L19" s="12" t="str">
        <f aca="false">IF(C19="","",IF(I19="Socio1",H19,0))</f>
        <v/>
      </c>
      <c r="M19" s="12" t="str">
        <f aca="false">IF(C19="","",IF(I19="Socio2",H19,0))</f>
        <v/>
      </c>
      <c r="N19" s="10"/>
      <c r="O19" s="10"/>
      <c r="P19" s="10"/>
    </row>
    <row r="20" customFormat="false" ht="15" hidden="false" customHeight="false" outlineLevel="0" collapsed="false">
      <c r="A20" s="8" t="str">
        <f aca="false">IF(C20="","","ID"&amp;TEXT(ROW()-4,"0000"))</f>
        <v/>
      </c>
      <c r="B20" s="9"/>
      <c r="C20" s="10"/>
      <c r="D20" s="10"/>
      <c r="E20" s="10"/>
      <c r="F20" s="10"/>
      <c r="G20" s="10"/>
      <c r="H20" s="12" t="str">
        <f aca="false">IF(C20="","",F20*G20)</f>
        <v/>
      </c>
      <c r="I20" s="10"/>
      <c r="J20" s="12" t="str">
        <f aca="false">IF(C20="","",$H20*Resumen_Socios!$D$5)</f>
        <v/>
      </c>
      <c r="K20" s="12" t="str">
        <f aca="false">IF(C20="","",$H20*Resumen_Socios!$D$6)</f>
        <v/>
      </c>
      <c r="L20" s="12" t="str">
        <f aca="false">IF(C20="","",IF(I20="Socio1",H20,0))</f>
        <v/>
      </c>
      <c r="M20" s="12" t="str">
        <f aca="false">IF(C20="","",IF(I20="Socio2",H20,0))</f>
        <v/>
      </c>
      <c r="N20" s="10"/>
      <c r="O20" s="10"/>
      <c r="P20" s="10"/>
    </row>
    <row r="21" customFormat="false" ht="15" hidden="false" customHeight="false" outlineLevel="0" collapsed="false">
      <c r="A21" s="8" t="str">
        <f aca="false">IF(C21="","","ID"&amp;TEXT(ROW()-4,"0000"))</f>
        <v/>
      </c>
      <c r="B21" s="9"/>
      <c r="C21" s="10"/>
      <c r="D21" s="10"/>
      <c r="E21" s="10"/>
      <c r="F21" s="10"/>
      <c r="G21" s="10"/>
      <c r="H21" s="12" t="str">
        <f aca="false">IF(C21="","",F21*G21)</f>
        <v/>
      </c>
      <c r="I21" s="10"/>
      <c r="J21" s="12" t="str">
        <f aca="false">IF(C21="","",$H21*Resumen_Socios!$D$5)</f>
        <v/>
      </c>
      <c r="K21" s="12" t="str">
        <f aca="false">IF(C21="","",$H21*Resumen_Socios!$D$6)</f>
        <v/>
      </c>
      <c r="L21" s="12" t="str">
        <f aca="false">IF(C21="","",IF(I21="Socio1",H21,0))</f>
        <v/>
      </c>
      <c r="M21" s="12" t="str">
        <f aca="false">IF(C21="","",IF(I21="Socio2",H21,0))</f>
        <v/>
      </c>
      <c r="N21" s="10"/>
      <c r="O21" s="10"/>
      <c r="P21" s="10"/>
    </row>
    <row r="22" customFormat="false" ht="15" hidden="false" customHeight="false" outlineLevel="0" collapsed="false">
      <c r="A22" s="8" t="str">
        <f aca="false">IF(C22="","","ID"&amp;TEXT(ROW()-4,"0000"))</f>
        <v/>
      </c>
      <c r="B22" s="9"/>
      <c r="C22" s="10"/>
      <c r="D22" s="10"/>
      <c r="E22" s="10"/>
      <c r="F22" s="10"/>
      <c r="G22" s="10"/>
      <c r="H22" s="12" t="str">
        <f aca="false">IF(C22="","",F22*G22)</f>
        <v/>
      </c>
      <c r="I22" s="10"/>
      <c r="J22" s="12" t="str">
        <f aca="false">IF(C22="","",$H22*Resumen_Socios!$D$5)</f>
        <v/>
      </c>
      <c r="K22" s="12" t="str">
        <f aca="false">IF(C22="","",$H22*Resumen_Socios!$D$6)</f>
        <v/>
      </c>
      <c r="L22" s="12" t="str">
        <f aca="false">IF(C22="","",IF(I22="Socio1",H22,0))</f>
        <v/>
      </c>
      <c r="M22" s="12" t="str">
        <f aca="false">IF(C22="","",IF(I22="Socio2",H22,0))</f>
        <v/>
      </c>
      <c r="N22" s="10"/>
      <c r="O22" s="10"/>
      <c r="P22" s="10"/>
    </row>
    <row r="23" customFormat="false" ht="15" hidden="false" customHeight="false" outlineLevel="0" collapsed="false">
      <c r="A23" s="8" t="str">
        <f aca="false">IF(C23="","","ID"&amp;TEXT(ROW()-4,"0000"))</f>
        <v/>
      </c>
      <c r="B23" s="9"/>
      <c r="C23" s="10"/>
      <c r="D23" s="10"/>
      <c r="E23" s="10"/>
      <c r="F23" s="10"/>
      <c r="G23" s="10"/>
      <c r="H23" s="12" t="str">
        <f aca="false">IF(C23="","",F23*G23)</f>
        <v/>
      </c>
      <c r="I23" s="10"/>
      <c r="J23" s="12" t="str">
        <f aca="false">IF(C23="","",$H23*Resumen_Socios!$D$5)</f>
        <v/>
      </c>
      <c r="K23" s="12" t="str">
        <f aca="false">IF(C23="","",$H23*Resumen_Socios!$D$6)</f>
        <v/>
      </c>
      <c r="L23" s="12" t="str">
        <f aca="false">IF(C23="","",IF(I23="Socio1",H23,0))</f>
        <v/>
      </c>
      <c r="M23" s="12" t="str">
        <f aca="false">IF(C23="","",IF(I23="Socio2",H23,0))</f>
        <v/>
      </c>
      <c r="N23" s="10"/>
      <c r="O23" s="10"/>
      <c r="P23" s="10"/>
    </row>
    <row r="24" customFormat="false" ht="15" hidden="false" customHeight="false" outlineLevel="0" collapsed="false">
      <c r="A24" s="8" t="str">
        <f aca="false">IF(C24="","","ID"&amp;TEXT(ROW()-4,"0000"))</f>
        <v/>
      </c>
      <c r="B24" s="9"/>
      <c r="C24" s="10"/>
      <c r="D24" s="10"/>
      <c r="E24" s="10"/>
      <c r="F24" s="10"/>
      <c r="G24" s="10"/>
      <c r="H24" s="12" t="str">
        <f aca="false">IF(C24="","",F24*G24)</f>
        <v/>
      </c>
      <c r="I24" s="10"/>
      <c r="J24" s="12" t="str">
        <f aca="false">IF(C24="","",$H24*Resumen_Socios!$D$5)</f>
        <v/>
      </c>
      <c r="K24" s="12" t="str">
        <f aca="false">IF(C24="","",$H24*Resumen_Socios!$D$6)</f>
        <v/>
      </c>
      <c r="L24" s="12" t="str">
        <f aca="false">IF(C24="","",IF(I24="Socio1",H24,0))</f>
        <v/>
      </c>
      <c r="M24" s="12" t="str">
        <f aca="false">IF(C24="","",IF(I24="Socio2",H24,0))</f>
        <v/>
      </c>
      <c r="N24" s="10"/>
      <c r="O24" s="10"/>
      <c r="P24" s="10"/>
    </row>
    <row r="25" customFormat="false" ht="15" hidden="false" customHeight="false" outlineLevel="0" collapsed="false">
      <c r="A25" s="8" t="str">
        <f aca="false">IF(C25="","","ID"&amp;TEXT(ROW()-4,"0000"))</f>
        <v/>
      </c>
      <c r="B25" s="9"/>
      <c r="C25" s="10"/>
      <c r="D25" s="10"/>
      <c r="E25" s="10"/>
      <c r="F25" s="10"/>
      <c r="G25" s="10"/>
      <c r="H25" s="12" t="str">
        <f aca="false">IF(C25="","",F25*G25)</f>
        <v/>
      </c>
      <c r="I25" s="10"/>
      <c r="J25" s="12" t="str">
        <f aca="false">IF(C25="","",$H25*Resumen_Socios!$D$5)</f>
        <v/>
      </c>
      <c r="K25" s="12" t="str">
        <f aca="false">IF(C25="","",$H25*Resumen_Socios!$D$6)</f>
        <v/>
      </c>
      <c r="L25" s="12" t="str">
        <f aca="false">IF(C25="","",IF(I25="Socio1",H25,0))</f>
        <v/>
      </c>
      <c r="M25" s="12" t="str">
        <f aca="false">IF(C25="","",IF(I25="Socio2",H25,0))</f>
        <v/>
      </c>
      <c r="N25" s="10"/>
      <c r="O25" s="10"/>
      <c r="P25" s="10"/>
    </row>
    <row r="26" customFormat="false" ht="15" hidden="false" customHeight="false" outlineLevel="0" collapsed="false">
      <c r="A26" s="8" t="str">
        <f aca="false">IF(C26="","","ID"&amp;TEXT(ROW()-4,"0000"))</f>
        <v/>
      </c>
      <c r="B26" s="9"/>
      <c r="C26" s="10"/>
      <c r="D26" s="10"/>
      <c r="E26" s="10"/>
      <c r="F26" s="10"/>
      <c r="G26" s="10"/>
      <c r="H26" s="12" t="str">
        <f aca="false">IF(C26="","",F26*G26)</f>
        <v/>
      </c>
      <c r="I26" s="10"/>
      <c r="J26" s="12" t="str">
        <f aca="false">IF(C26="","",$H26*Resumen_Socios!$D$5)</f>
        <v/>
      </c>
      <c r="K26" s="12" t="str">
        <f aca="false">IF(C26="","",$H26*Resumen_Socios!$D$6)</f>
        <v/>
      </c>
      <c r="L26" s="12" t="str">
        <f aca="false">IF(C26="","",IF(I26="Socio1",H26,0))</f>
        <v/>
      </c>
      <c r="M26" s="12" t="str">
        <f aca="false">IF(C26="","",IF(I26="Socio2",H26,0))</f>
        <v/>
      </c>
      <c r="N26" s="10"/>
      <c r="O26" s="10"/>
      <c r="P26" s="10"/>
    </row>
    <row r="27" customFormat="false" ht="15" hidden="false" customHeight="false" outlineLevel="0" collapsed="false">
      <c r="A27" s="8" t="str">
        <f aca="false">IF(C27="","","ID"&amp;TEXT(ROW()-4,"0000"))</f>
        <v/>
      </c>
      <c r="B27" s="9"/>
      <c r="C27" s="10"/>
      <c r="D27" s="10"/>
      <c r="E27" s="10"/>
      <c r="F27" s="10"/>
      <c r="G27" s="10"/>
      <c r="H27" s="12" t="str">
        <f aca="false">IF(C27="","",F27*G27)</f>
        <v/>
      </c>
      <c r="I27" s="10"/>
      <c r="J27" s="12" t="str">
        <f aca="false">IF(C27="","",$H27*Resumen_Socios!$D$5)</f>
        <v/>
      </c>
      <c r="K27" s="12" t="str">
        <f aca="false">IF(C27="","",$H27*Resumen_Socios!$D$6)</f>
        <v/>
      </c>
      <c r="L27" s="12" t="str">
        <f aca="false">IF(C27="","",IF(I27="Socio1",H27,0))</f>
        <v/>
      </c>
      <c r="M27" s="12" t="str">
        <f aca="false">IF(C27="","",IF(I27="Socio2",H27,0))</f>
        <v/>
      </c>
      <c r="N27" s="10"/>
      <c r="O27" s="10"/>
      <c r="P27" s="10"/>
    </row>
    <row r="28" customFormat="false" ht="15" hidden="false" customHeight="false" outlineLevel="0" collapsed="false">
      <c r="A28" s="8" t="str">
        <f aca="false">IF(C28="","","ID"&amp;TEXT(ROW()-4,"0000"))</f>
        <v/>
      </c>
      <c r="B28" s="9"/>
      <c r="C28" s="10"/>
      <c r="D28" s="10"/>
      <c r="E28" s="10"/>
      <c r="F28" s="10"/>
      <c r="G28" s="10"/>
      <c r="H28" s="12" t="str">
        <f aca="false">IF(C28="","",F28*G28)</f>
        <v/>
      </c>
      <c r="I28" s="10"/>
      <c r="J28" s="12" t="str">
        <f aca="false">IF(C28="","",$H28*Resumen_Socios!$D$5)</f>
        <v/>
      </c>
      <c r="K28" s="12" t="str">
        <f aca="false">IF(C28="","",$H28*Resumen_Socios!$D$6)</f>
        <v/>
      </c>
      <c r="L28" s="12" t="str">
        <f aca="false">IF(C28="","",IF(I28="Socio1",H28,0))</f>
        <v/>
      </c>
      <c r="M28" s="12" t="str">
        <f aca="false">IF(C28="","",IF(I28="Socio2",H28,0))</f>
        <v/>
      </c>
      <c r="N28" s="10"/>
      <c r="O28" s="10"/>
      <c r="P28" s="10"/>
    </row>
    <row r="29" customFormat="false" ht="15" hidden="false" customHeight="false" outlineLevel="0" collapsed="false">
      <c r="A29" s="8" t="str">
        <f aca="false">IF(C29="","","ID"&amp;TEXT(ROW()-4,"0000"))</f>
        <v/>
      </c>
      <c r="B29" s="9"/>
      <c r="C29" s="10"/>
      <c r="D29" s="10"/>
      <c r="E29" s="10"/>
      <c r="F29" s="10"/>
      <c r="G29" s="10"/>
      <c r="H29" s="12" t="str">
        <f aca="false">IF(C29="","",F29*G29)</f>
        <v/>
      </c>
      <c r="I29" s="10"/>
      <c r="J29" s="12" t="str">
        <f aca="false">IF(C29="","",$H29*Resumen_Socios!$D$5)</f>
        <v/>
      </c>
      <c r="K29" s="12" t="str">
        <f aca="false">IF(C29="","",$H29*Resumen_Socios!$D$6)</f>
        <v/>
      </c>
      <c r="L29" s="12" t="str">
        <f aca="false">IF(C29="","",IF(I29="Socio1",H29,0))</f>
        <v/>
      </c>
      <c r="M29" s="12" t="str">
        <f aca="false">IF(C29="","",IF(I29="Socio2",H29,0))</f>
        <v/>
      </c>
      <c r="N29" s="10"/>
      <c r="O29" s="10"/>
      <c r="P29" s="10"/>
    </row>
    <row r="30" customFormat="false" ht="15" hidden="false" customHeight="false" outlineLevel="0" collapsed="false">
      <c r="A30" s="8" t="str">
        <f aca="false">IF(C30="","","ID"&amp;TEXT(ROW()-4,"0000"))</f>
        <v/>
      </c>
      <c r="B30" s="9"/>
      <c r="C30" s="10"/>
      <c r="D30" s="10"/>
      <c r="E30" s="10"/>
      <c r="F30" s="10"/>
      <c r="G30" s="10"/>
      <c r="H30" s="12" t="str">
        <f aca="false">IF(C30="","",F30*G30)</f>
        <v/>
      </c>
      <c r="I30" s="10"/>
      <c r="J30" s="12" t="str">
        <f aca="false">IF(C30="","",$H30*Resumen_Socios!$D$5)</f>
        <v/>
      </c>
      <c r="K30" s="12" t="str">
        <f aca="false">IF(C30="","",$H30*Resumen_Socios!$D$6)</f>
        <v/>
      </c>
      <c r="L30" s="12" t="str">
        <f aca="false">IF(C30="","",IF(I30="Socio1",H30,0))</f>
        <v/>
      </c>
      <c r="M30" s="12" t="str">
        <f aca="false">IF(C30="","",IF(I30="Socio2",H30,0))</f>
        <v/>
      </c>
      <c r="N30" s="10"/>
      <c r="O30" s="10"/>
      <c r="P30" s="10"/>
    </row>
    <row r="31" customFormat="false" ht="15" hidden="false" customHeight="false" outlineLevel="0" collapsed="false">
      <c r="A31" s="8" t="str">
        <f aca="false">IF(C31="","","ID"&amp;TEXT(ROW()-4,"0000"))</f>
        <v/>
      </c>
      <c r="B31" s="9"/>
      <c r="C31" s="10"/>
      <c r="D31" s="10"/>
      <c r="E31" s="10"/>
      <c r="F31" s="10"/>
      <c r="G31" s="10"/>
      <c r="H31" s="12" t="str">
        <f aca="false">IF(C31="","",F31*G31)</f>
        <v/>
      </c>
      <c r="I31" s="10"/>
      <c r="J31" s="12" t="str">
        <f aca="false">IF(C31="","",$H31*Resumen_Socios!$D$5)</f>
        <v/>
      </c>
      <c r="K31" s="12" t="str">
        <f aca="false">IF(C31="","",$H31*Resumen_Socios!$D$6)</f>
        <v/>
      </c>
      <c r="L31" s="12" t="str">
        <f aca="false">IF(C31="","",IF(I31="Socio1",H31,0))</f>
        <v/>
      </c>
      <c r="M31" s="12" t="str">
        <f aca="false">IF(C31="","",IF(I31="Socio2",H31,0))</f>
        <v/>
      </c>
      <c r="N31" s="10"/>
      <c r="O31" s="10"/>
      <c r="P31" s="10"/>
    </row>
    <row r="32" customFormat="false" ht="15" hidden="false" customHeight="false" outlineLevel="0" collapsed="false">
      <c r="A32" s="8" t="str">
        <f aca="false">IF(C32="","","ID"&amp;TEXT(ROW()-4,"0000"))</f>
        <v/>
      </c>
      <c r="B32" s="9"/>
      <c r="C32" s="10"/>
      <c r="D32" s="10"/>
      <c r="E32" s="10"/>
      <c r="F32" s="10"/>
      <c r="G32" s="10"/>
      <c r="H32" s="12" t="str">
        <f aca="false">IF(C32="","",F32*G32)</f>
        <v/>
      </c>
      <c r="I32" s="10"/>
      <c r="J32" s="12" t="str">
        <f aca="false">IF(C32="","",$H32*Resumen_Socios!$D$5)</f>
        <v/>
      </c>
      <c r="K32" s="12" t="str">
        <f aca="false">IF(C32="","",$H32*Resumen_Socios!$D$6)</f>
        <v/>
      </c>
      <c r="L32" s="12" t="str">
        <f aca="false">IF(C32="","",IF(I32="Socio1",H32,0))</f>
        <v/>
      </c>
      <c r="M32" s="12" t="str">
        <f aca="false">IF(C32="","",IF(I32="Socio2",H32,0))</f>
        <v/>
      </c>
      <c r="N32" s="10"/>
      <c r="O32" s="10"/>
      <c r="P32" s="10"/>
    </row>
    <row r="33" customFormat="false" ht="15" hidden="false" customHeight="false" outlineLevel="0" collapsed="false">
      <c r="A33" s="8" t="str">
        <f aca="false">IF(C33="","","ID"&amp;TEXT(ROW()-4,"0000"))</f>
        <v/>
      </c>
      <c r="B33" s="9"/>
      <c r="C33" s="10"/>
      <c r="D33" s="10"/>
      <c r="E33" s="10"/>
      <c r="F33" s="10"/>
      <c r="G33" s="10"/>
      <c r="H33" s="12" t="str">
        <f aca="false">IF(C33="","",F33*G33)</f>
        <v/>
      </c>
      <c r="I33" s="10"/>
      <c r="J33" s="12" t="str">
        <f aca="false">IF(C33="","",$H33*Resumen_Socios!$D$5)</f>
        <v/>
      </c>
      <c r="K33" s="12" t="str">
        <f aca="false">IF(C33="","",$H33*Resumen_Socios!$D$6)</f>
        <v/>
      </c>
      <c r="L33" s="12" t="str">
        <f aca="false">IF(C33="","",IF(I33="Socio1",H33,0))</f>
        <v/>
      </c>
      <c r="M33" s="12" t="str">
        <f aca="false">IF(C33="","",IF(I33="Socio2",H33,0))</f>
        <v/>
      </c>
      <c r="N33" s="10"/>
      <c r="O33" s="10"/>
      <c r="P33" s="10"/>
    </row>
    <row r="34" customFormat="false" ht="15" hidden="false" customHeight="false" outlineLevel="0" collapsed="false">
      <c r="A34" s="8" t="str">
        <f aca="false">IF(C34="","","ID"&amp;TEXT(ROW()-4,"0000"))</f>
        <v/>
      </c>
      <c r="B34" s="9"/>
      <c r="C34" s="10"/>
      <c r="D34" s="10"/>
      <c r="E34" s="10"/>
      <c r="F34" s="10"/>
      <c r="G34" s="10"/>
      <c r="H34" s="12" t="str">
        <f aca="false">IF(C34="","",F34*G34)</f>
        <v/>
      </c>
      <c r="I34" s="10"/>
      <c r="J34" s="12" t="str">
        <f aca="false">IF(C34="","",$H34*Resumen_Socios!$D$5)</f>
        <v/>
      </c>
      <c r="K34" s="12" t="str">
        <f aca="false">IF(C34="","",$H34*Resumen_Socios!$D$6)</f>
        <v/>
      </c>
      <c r="L34" s="12" t="str">
        <f aca="false">IF(C34="","",IF(I34="Socio1",H34,0))</f>
        <v/>
      </c>
      <c r="M34" s="12" t="str">
        <f aca="false">IF(C34="","",IF(I34="Socio2",H34,0))</f>
        <v/>
      </c>
      <c r="N34" s="10"/>
      <c r="O34" s="10"/>
      <c r="P34" s="10"/>
    </row>
    <row r="36" customFormat="false" ht="15" hidden="false" customHeight="false" outlineLevel="0" collapsed="false">
      <c r="C36" s="13" t="s">
        <v>46</v>
      </c>
      <c r="H36" s="14" t="n">
        <f aca="false">SUM(H5:H34)</f>
        <v>1300000</v>
      </c>
      <c r="J36" s="14" t="n">
        <f aca="false">SUM(J5:J34)</f>
        <v>845000</v>
      </c>
      <c r="K36" s="14" t="n">
        <f aca="false">SUM(K5:K34)</f>
        <v>455000</v>
      </c>
      <c r="L36" s="14" t="n">
        <f aca="false">SUM(L5:L34)</f>
        <v>1300000</v>
      </c>
      <c r="M36" s="14" t="n">
        <f aca="false">SUM(M5:M34)</f>
        <v>0</v>
      </c>
    </row>
  </sheetData>
  <mergeCells count="2">
    <mergeCell ref="A1:N1"/>
    <mergeCell ref="A2:N2"/>
  </mergeCells>
  <dataValidations count="3">
    <dataValidation allowBlank="true" errorStyle="stop" operator="between" showDropDown="false" showErrorMessage="false" showInputMessage="false" sqref="D5:D34" type="list">
      <formula1>"Importación,Gasto operativo,Impuesto,Logística,Comisión,Otro"</formula1>
      <formula2>0</formula2>
    </dataValidation>
    <dataValidation allowBlank="true" errorStyle="stop" operator="between" showDropDown="false" showErrorMessage="false" showInputMessage="false" sqref="I5:I34" type="list">
      <formula1>"Socio1,Socio2,Caja empresa"</formula1>
      <formula2>0</formula2>
    </dataValidation>
    <dataValidation allowBlank="true" errorStyle="stop" operator="between" showDropDown="false" showErrorMessage="false" showInputMessage="false" sqref="O5:O34" type="list">
      <formula1>"Pagado,Pendiente,Parcial"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32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5" t="s">
        <v>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30" hidden="false" customHeight="true" outlineLevel="0" collapsed="false">
      <c r="A4" s="7" t="s">
        <v>22</v>
      </c>
      <c r="B4" s="7" t="s">
        <v>23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  <c r="I4" s="7" t="s">
        <v>55</v>
      </c>
      <c r="J4" s="7" t="s">
        <v>56</v>
      </c>
      <c r="K4" s="7" t="s">
        <v>57</v>
      </c>
      <c r="L4" s="7" t="s">
        <v>37</v>
      </c>
    </row>
    <row r="5" customFormat="false" ht="15" hidden="false" customHeight="false" outlineLevel="0" collapsed="false">
      <c r="A5" s="8" t="str">
        <f aca="false">IF(C5="","","C"&amp;TEXT(ROW()-4,"0000"))</f>
        <v>C0001</v>
      </c>
      <c r="B5" s="9" t="s">
        <v>38</v>
      </c>
      <c r="C5" s="10" t="s">
        <v>58</v>
      </c>
      <c r="D5" s="10" t="s">
        <v>59</v>
      </c>
      <c r="E5" s="10" t="s">
        <v>60</v>
      </c>
      <c r="F5" s="10" t="s">
        <v>61</v>
      </c>
      <c r="G5" s="10" t="n">
        <v>500</v>
      </c>
      <c r="H5" s="15" t="n">
        <v>1.8</v>
      </c>
      <c r="I5" s="16" t="n">
        <f aca="false">G5*H5</f>
        <v>900</v>
      </c>
      <c r="J5" s="10" t="s">
        <v>62</v>
      </c>
      <c r="K5" s="10" t="s">
        <v>63</v>
      </c>
      <c r="L5" s="10" t="s">
        <v>64</v>
      </c>
    </row>
    <row r="6" customFormat="false" ht="15" hidden="false" customHeight="false" outlineLevel="0" collapsed="false">
      <c r="A6" s="8" t="str">
        <f aca="false">IF(C6="","","C"&amp;TEXT(ROW()-4,"0000"))</f>
        <v/>
      </c>
      <c r="B6" s="9"/>
      <c r="C6" s="10"/>
      <c r="D6" s="10"/>
      <c r="E6" s="10"/>
      <c r="F6" s="10"/>
      <c r="G6" s="10"/>
      <c r="H6" s="15"/>
      <c r="I6" s="16" t="str">
        <f aca="false">IF(C6="","",G6*H6)</f>
        <v/>
      </c>
      <c r="J6" s="10"/>
      <c r="K6" s="10"/>
      <c r="L6" s="10"/>
    </row>
    <row r="7" customFormat="false" ht="15" hidden="false" customHeight="false" outlineLevel="0" collapsed="false">
      <c r="A7" s="8" t="str">
        <f aca="false">IF(C7="","","C"&amp;TEXT(ROW()-4,"0000"))</f>
        <v/>
      </c>
      <c r="B7" s="9"/>
      <c r="C7" s="10"/>
      <c r="D7" s="10"/>
      <c r="E7" s="10"/>
      <c r="F7" s="10"/>
      <c r="G7" s="10"/>
      <c r="H7" s="15"/>
      <c r="I7" s="16" t="str">
        <f aca="false">IF(C7="","",G7*H7)</f>
        <v/>
      </c>
      <c r="J7" s="10"/>
      <c r="K7" s="10"/>
      <c r="L7" s="10"/>
    </row>
    <row r="8" customFormat="false" ht="15" hidden="false" customHeight="false" outlineLevel="0" collapsed="false">
      <c r="A8" s="8" t="str">
        <f aca="false">IF(C8="","","C"&amp;TEXT(ROW()-4,"0000"))</f>
        <v/>
      </c>
      <c r="B8" s="9"/>
      <c r="C8" s="10"/>
      <c r="D8" s="10"/>
      <c r="E8" s="10"/>
      <c r="F8" s="10"/>
      <c r="G8" s="10"/>
      <c r="H8" s="15"/>
      <c r="I8" s="16" t="str">
        <f aca="false">IF(C8="","",G8*H8)</f>
        <v/>
      </c>
      <c r="J8" s="10"/>
      <c r="K8" s="10"/>
      <c r="L8" s="10"/>
    </row>
    <row r="9" customFormat="false" ht="15" hidden="false" customHeight="false" outlineLevel="0" collapsed="false">
      <c r="A9" s="8" t="str">
        <f aca="false">IF(C9="","","C"&amp;TEXT(ROW()-4,"0000"))</f>
        <v/>
      </c>
      <c r="B9" s="9"/>
      <c r="C9" s="10"/>
      <c r="D9" s="10"/>
      <c r="E9" s="10"/>
      <c r="F9" s="10"/>
      <c r="G9" s="10"/>
      <c r="H9" s="15"/>
      <c r="I9" s="16" t="str">
        <f aca="false">IF(C9="","",G9*H9)</f>
        <v/>
      </c>
      <c r="J9" s="10"/>
      <c r="K9" s="10"/>
      <c r="L9" s="10"/>
    </row>
    <row r="10" customFormat="false" ht="15" hidden="false" customHeight="false" outlineLevel="0" collapsed="false">
      <c r="A10" s="8" t="str">
        <f aca="false">IF(C10="","","C"&amp;TEXT(ROW()-4,"0000"))</f>
        <v/>
      </c>
      <c r="B10" s="9"/>
      <c r="C10" s="10"/>
      <c r="D10" s="10"/>
      <c r="E10" s="10"/>
      <c r="F10" s="10"/>
      <c r="G10" s="10"/>
      <c r="H10" s="15"/>
      <c r="I10" s="16" t="str">
        <f aca="false">IF(C10="","",G10*H10)</f>
        <v/>
      </c>
      <c r="J10" s="10"/>
      <c r="K10" s="10"/>
      <c r="L10" s="10"/>
    </row>
    <row r="11" customFormat="false" ht="15" hidden="false" customHeight="false" outlineLevel="0" collapsed="false">
      <c r="A11" s="8" t="str">
        <f aca="false">IF(C11="","","C"&amp;TEXT(ROW()-4,"0000"))</f>
        <v/>
      </c>
      <c r="B11" s="9"/>
      <c r="C11" s="10"/>
      <c r="D11" s="10"/>
      <c r="E11" s="10"/>
      <c r="F11" s="10"/>
      <c r="G11" s="10"/>
      <c r="H11" s="15"/>
      <c r="I11" s="16" t="str">
        <f aca="false">IF(C11="","",G11*H11)</f>
        <v/>
      </c>
      <c r="J11" s="10"/>
      <c r="K11" s="10"/>
      <c r="L11" s="10"/>
    </row>
    <row r="12" customFormat="false" ht="15" hidden="false" customHeight="false" outlineLevel="0" collapsed="false">
      <c r="A12" s="8" t="str">
        <f aca="false">IF(C12="","","C"&amp;TEXT(ROW()-4,"0000"))</f>
        <v/>
      </c>
      <c r="B12" s="9"/>
      <c r="C12" s="10"/>
      <c r="D12" s="10"/>
      <c r="E12" s="10"/>
      <c r="F12" s="10"/>
      <c r="G12" s="10"/>
      <c r="H12" s="15"/>
      <c r="I12" s="16" t="str">
        <f aca="false">IF(C12="","",G12*H12)</f>
        <v/>
      </c>
      <c r="J12" s="10"/>
      <c r="K12" s="10"/>
      <c r="L12" s="10"/>
    </row>
    <row r="13" customFormat="false" ht="15" hidden="false" customHeight="false" outlineLevel="0" collapsed="false">
      <c r="A13" s="8" t="str">
        <f aca="false">IF(C13="","","C"&amp;TEXT(ROW()-4,"0000"))</f>
        <v/>
      </c>
      <c r="B13" s="9"/>
      <c r="C13" s="10"/>
      <c r="D13" s="10"/>
      <c r="E13" s="10"/>
      <c r="F13" s="10"/>
      <c r="G13" s="10"/>
      <c r="H13" s="15"/>
      <c r="I13" s="16" t="str">
        <f aca="false">IF(C13="","",G13*H13)</f>
        <v/>
      </c>
      <c r="J13" s="10"/>
      <c r="K13" s="10"/>
      <c r="L13" s="10"/>
    </row>
    <row r="14" customFormat="false" ht="15" hidden="false" customHeight="false" outlineLevel="0" collapsed="false">
      <c r="A14" s="8" t="str">
        <f aca="false">IF(C14="","","C"&amp;TEXT(ROW()-4,"0000"))</f>
        <v/>
      </c>
      <c r="B14" s="9"/>
      <c r="C14" s="10"/>
      <c r="D14" s="10"/>
      <c r="E14" s="10"/>
      <c r="F14" s="10"/>
      <c r="G14" s="10"/>
      <c r="H14" s="15"/>
      <c r="I14" s="16" t="str">
        <f aca="false">IF(C14="","",G14*H14)</f>
        <v/>
      </c>
      <c r="J14" s="10"/>
      <c r="K14" s="10"/>
      <c r="L14" s="10"/>
    </row>
    <row r="15" customFormat="false" ht="15" hidden="false" customHeight="false" outlineLevel="0" collapsed="false">
      <c r="A15" s="8" t="str">
        <f aca="false">IF(C15="","","C"&amp;TEXT(ROW()-4,"0000"))</f>
        <v/>
      </c>
      <c r="B15" s="9"/>
      <c r="C15" s="10"/>
      <c r="D15" s="10"/>
      <c r="E15" s="10"/>
      <c r="F15" s="10"/>
      <c r="G15" s="10"/>
      <c r="H15" s="15"/>
      <c r="I15" s="16" t="str">
        <f aca="false">IF(C15="","",G15*H15)</f>
        <v/>
      </c>
      <c r="J15" s="10"/>
      <c r="K15" s="10"/>
      <c r="L15" s="10"/>
    </row>
    <row r="16" customFormat="false" ht="15" hidden="false" customHeight="false" outlineLevel="0" collapsed="false">
      <c r="A16" s="8" t="str">
        <f aca="false">IF(C16="","","C"&amp;TEXT(ROW()-4,"0000"))</f>
        <v/>
      </c>
      <c r="B16" s="9"/>
      <c r="C16" s="10"/>
      <c r="D16" s="10"/>
      <c r="E16" s="10"/>
      <c r="F16" s="10"/>
      <c r="G16" s="10"/>
      <c r="H16" s="15"/>
      <c r="I16" s="16" t="str">
        <f aca="false">IF(C16="","",G16*H16)</f>
        <v/>
      </c>
      <c r="J16" s="10"/>
      <c r="K16" s="10"/>
      <c r="L16" s="10"/>
    </row>
    <row r="17" customFormat="false" ht="15" hidden="false" customHeight="false" outlineLevel="0" collapsed="false">
      <c r="A17" s="8" t="str">
        <f aca="false">IF(C17="","","C"&amp;TEXT(ROW()-4,"0000"))</f>
        <v/>
      </c>
      <c r="B17" s="9"/>
      <c r="C17" s="10"/>
      <c r="D17" s="10"/>
      <c r="E17" s="10"/>
      <c r="F17" s="10"/>
      <c r="G17" s="10"/>
      <c r="H17" s="15"/>
      <c r="I17" s="16" t="str">
        <f aca="false">IF(C17="","",G17*H17)</f>
        <v/>
      </c>
      <c r="J17" s="10"/>
      <c r="K17" s="10"/>
      <c r="L17" s="10"/>
    </row>
    <row r="18" customFormat="false" ht="15" hidden="false" customHeight="false" outlineLevel="0" collapsed="false">
      <c r="A18" s="8" t="str">
        <f aca="false">IF(C18="","","C"&amp;TEXT(ROW()-4,"0000"))</f>
        <v/>
      </c>
      <c r="B18" s="9"/>
      <c r="C18" s="10"/>
      <c r="D18" s="10"/>
      <c r="E18" s="10"/>
      <c r="F18" s="10"/>
      <c r="G18" s="10"/>
      <c r="H18" s="15"/>
      <c r="I18" s="16" t="str">
        <f aca="false">IF(C18="","",G18*H18)</f>
        <v/>
      </c>
      <c r="J18" s="10"/>
      <c r="K18" s="10"/>
      <c r="L18" s="10"/>
    </row>
    <row r="19" customFormat="false" ht="15" hidden="false" customHeight="false" outlineLevel="0" collapsed="false">
      <c r="A19" s="8" t="str">
        <f aca="false">IF(C19="","","C"&amp;TEXT(ROW()-4,"0000"))</f>
        <v/>
      </c>
      <c r="B19" s="9"/>
      <c r="C19" s="10"/>
      <c r="D19" s="10"/>
      <c r="E19" s="10"/>
      <c r="F19" s="10"/>
      <c r="G19" s="10"/>
      <c r="H19" s="15"/>
      <c r="I19" s="16" t="str">
        <f aca="false">IF(C19="","",G19*H19)</f>
        <v/>
      </c>
      <c r="J19" s="10"/>
      <c r="K19" s="10"/>
      <c r="L19" s="10"/>
    </row>
    <row r="20" customFormat="false" ht="15" hidden="false" customHeight="false" outlineLevel="0" collapsed="false">
      <c r="A20" s="8" t="str">
        <f aca="false">IF(C20="","","C"&amp;TEXT(ROW()-4,"0000"))</f>
        <v/>
      </c>
      <c r="B20" s="9"/>
      <c r="C20" s="10"/>
      <c r="D20" s="10"/>
      <c r="E20" s="10"/>
      <c r="F20" s="10"/>
      <c r="G20" s="10"/>
      <c r="H20" s="15"/>
      <c r="I20" s="16" t="str">
        <f aca="false">IF(C20="","",G20*H20)</f>
        <v/>
      </c>
      <c r="J20" s="10"/>
      <c r="K20" s="10"/>
      <c r="L20" s="10"/>
    </row>
    <row r="21" customFormat="false" ht="15" hidden="false" customHeight="false" outlineLevel="0" collapsed="false">
      <c r="A21" s="8" t="str">
        <f aca="false">IF(C21="","","C"&amp;TEXT(ROW()-4,"0000"))</f>
        <v/>
      </c>
      <c r="B21" s="9"/>
      <c r="C21" s="10"/>
      <c r="D21" s="10"/>
      <c r="E21" s="10"/>
      <c r="F21" s="10"/>
      <c r="G21" s="10"/>
      <c r="H21" s="15"/>
      <c r="I21" s="16" t="str">
        <f aca="false">IF(C21="","",G21*H21)</f>
        <v/>
      </c>
      <c r="J21" s="10"/>
      <c r="K21" s="10"/>
      <c r="L21" s="10"/>
    </row>
    <row r="22" customFormat="false" ht="15" hidden="false" customHeight="false" outlineLevel="0" collapsed="false">
      <c r="A22" s="8" t="str">
        <f aca="false">IF(C22="","","C"&amp;TEXT(ROW()-4,"0000"))</f>
        <v/>
      </c>
      <c r="B22" s="9"/>
      <c r="C22" s="10"/>
      <c r="D22" s="10"/>
      <c r="E22" s="10"/>
      <c r="F22" s="10"/>
      <c r="G22" s="10"/>
      <c r="H22" s="15"/>
      <c r="I22" s="16" t="str">
        <f aca="false">IF(C22="","",G22*H22)</f>
        <v/>
      </c>
      <c r="J22" s="10"/>
      <c r="K22" s="10"/>
      <c r="L22" s="10"/>
    </row>
    <row r="23" customFormat="false" ht="15" hidden="false" customHeight="false" outlineLevel="0" collapsed="false">
      <c r="A23" s="8" t="str">
        <f aca="false">IF(C23="","","C"&amp;TEXT(ROW()-4,"0000"))</f>
        <v/>
      </c>
      <c r="B23" s="9"/>
      <c r="C23" s="10"/>
      <c r="D23" s="10"/>
      <c r="E23" s="10"/>
      <c r="F23" s="10"/>
      <c r="G23" s="10"/>
      <c r="H23" s="15"/>
      <c r="I23" s="16" t="str">
        <f aca="false">IF(C23="","",G23*H23)</f>
        <v/>
      </c>
      <c r="J23" s="10"/>
      <c r="K23" s="10"/>
      <c r="L23" s="10"/>
    </row>
    <row r="24" customFormat="false" ht="15" hidden="false" customHeight="false" outlineLevel="0" collapsed="false">
      <c r="A24" s="8" t="str">
        <f aca="false">IF(C24="","","C"&amp;TEXT(ROW()-4,"0000"))</f>
        <v/>
      </c>
      <c r="B24" s="9"/>
      <c r="C24" s="10"/>
      <c r="D24" s="10"/>
      <c r="E24" s="10"/>
      <c r="F24" s="10"/>
      <c r="G24" s="10"/>
      <c r="H24" s="15"/>
      <c r="I24" s="16" t="str">
        <f aca="false">IF(C24="","",G24*H24)</f>
        <v/>
      </c>
      <c r="J24" s="10"/>
      <c r="K24" s="10"/>
      <c r="L24" s="10"/>
    </row>
    <row r="25" customFormat="false" ht="15" hidden="false" customHeight="false" outlineLevel="0" collapsed="false">
      <c r="A25" s="8" t="str">
        <f aca="false">IF(C25="","","C"&amp;TEXT(ROW()-4,"0000"))</f>
        <v/>
      </c>
      <c r="B25" s="9"/>
      <c r="C25" s="10"/>
      <c r="D25" s="10"/>
      <c r="E25" s="10"/>
      <c r="F25" s="10"/>
      <c r="G25" s="10"/>
      <c r="H25" s="15"/>
      <c r="I25" s="16" t="str">
        <f aca="false">IF(C25="","",G25*H25)</f>
        <v/>
      </c>
      <c r="J25" s="10"/>
      <c r="K25" s="10"/>
      <c r="L25" s="10"/>
    </row>
    <row r="26" customFormat="false" ht="15" hidden="false" customHeight="false" outlineLevel="0" collapsed="false">
      <c r="A26" s="8" t="str">
        <f aca="false">IF(C26="","","C"&amp;TEXT(ROW()-4,"0000"))</f>
        <v/>
      </c>
      <c r="B26" s="9"/>
      <c r="C26" s="10"/>
      <c r="D26" s="10"/>
      <c r="E26" s="10"/>
      <c r="F26" s="10"/>
      <c r="G26" s="10"/>
      <c r="H26" s="15"/>
      <c r="I26" s="16" t="str">
        <f aca="false">IF(C26="","",G26*H26)</f>
        <v/>
      </c>
      <c r="J26" s="10"/>
      <c r="K26" s="10"/>
      <c r="L26" s="10"/>
    </row>
    <row r="27" customFormat="false" ht="15" hidden="false" customHeight="false" outlineLevel="0" collapsed="false">
      <c r="A27" s="8" t="str">
        <f aca="false">IF(C27="","","C"&amp;TEXT(ROW()-4,"0000"))</f>
        <v/>
      </c>
      <c r="B27" s="9"/>
      <c r="C27" s="10"/>
      <c r="D27" s="10"/>
      <c r="E27" s="10"/>
      <c r="F27" s="10"/>
      <c r="G27" s="10"/>
      <c r="H27" s="15"/>
      <c r="I27" s="16" t="str">
        <f aca="false">IF(C27="","",G27*H27)</f>
        <v/>
      </c>
      <c r="J27" s="10"/>
      <c r="K27" s="10"/>
      <c r="L27" s="10"/>
    </row>
    <row r="28" customFormat="false" ht="15" hidden="false" customHeight="false" outlineLevel="0" collapsed="false">
      <c r="A28" s="8" t="str">
        <f aca="false">IF(C28="","","C"&amp;TEXT(ROW()-4,"0000"))</f>
        <v/>
      </c>
      <c r="B28" s="9"/>
      <c r="C28" s="10"/>
      <c r="D28" s="10"/>
      <c r="E28" s="10"/>
      <c r="F28" s="10"/>
      <c r="G28" s="10"/>
      <c r="H28" s="15"/>
      <c r="I28" s="16" t="str">
        <f aca="false">IF(C28="","",G28*H28)</f>
        <v/>
      </c>
      <c r="J28" s="10"/>
      <c r="K28" s="10"/>
      <c r="L28" s="10"/>
    </row>
    <row r="29" customFormat="false" ht="15" hidden="false" customHeight="false" outlineLevel="0" collapsed="false">
      <c r="A29" s="8" t="str">
        <f aca="false">IF(C29="","","C"&amp;TEXT(ROW()-4,"0000"))</f>
        <v/>
      </c>
      <c r="B29" s="9"/>
      <c r="C29" s="10"/>
      <c r="D29" s="10"/>
      <c r="E29" s="10"/>
      <c r="F29" s="10"/>
      <c r="G29" s="10"/>
      <c r="H29" s="15"/>
      <c r="I29" s="16" t="str">
        <f aca="false">IF(C29="","",G29*H29)</f>
        <v/>
      </c>
      <c r="J29" s="10"/>
      <c r="K29" s="10"/>
      <c r="L29" s="10"/>
    </row>
    <row r="30" customFormat="false" ht="15" hidden="false" customHeight="false" outlineLevel="0" collapsed="false">
      <c r="A30" s="8" t="str">
        <f aca="false">IF(C30="","","C"&amp;TEXT(ROW()-4,"0000"))</f>
        <v/>
      </c>
      <c r="B30" s="9"/>
      <c r="C30" s="10"/>
      <c r="D30" s="10"/>
      <c r="E30" s="10"/>
      <c r="F30" s="10"/>
      <c r="G30" s="10"/>
      <c r="H30" s="15"/>
      <c r="I30" s="16" t="str">
        <f aca="false">IF(C30="","",G30*H30)</f>
        <v/>
      </c>
      <c r="J30" s="10"/>
      <c r="K30" s="10"/>
      <c r="L30" s="10"/>
    </row>
    <row r="31" customFormat="false" ht="15" hidden="false" customHeight="false" outlineLevel="0" collapsed="false">
      <c r="A31" s="8" t="str">
        <f aca="false">IF(C31="","","C"&amp;TEXT(ROW()-4,"0000"))</f>
        <v/>
      </c>
      <c r="B31" s="9"/>
      <c r="C31" s="10"/>
      <c r="D31" s="10"/>
      <c r="E31" s="10"/>
      <c r="F31" s="10"/>
      <c r="G31" s="10"/>
      <c r="H31" s="15"/>
      <c r="I31" s="16" t="str">
        <f aca="false">IF(C31="","",G31*H31)</f>
        <v/>
      </c>
      <c r="J31" s="10"/>
      <c r="K31" s="10"/>
      <c r="L31" s="10"/>
    </row>
    <row r="32" customFormat="false" ht="15" hidden="false" customHeight="false" outlineLevel="0" collapsed="false">
      <c r="A32" s="8" t="str">
        <f aca="false">IF(C32="","","C"&amp;TEXT(ROW()-4,"0000"))</f>
        <v/>
      </c>
      <c r="B32" s="9"/>
      <c r="C32" s="10"/>
      <c r="D32" s="10"/>
      <c r="E32" s="10"/>
      <c r="F32" s="10"/>
      <c r="G32" s="10"/>
      <c r="H32" s="15"/>
      <c r="I32" s="16" t="str">
        <f aca="false">IF(C32="","",G32*H32)</f>
        <v/>
      </c>
      <c r="J32" s="10"/>
      <c r="K32" s="10"/>
      <c r="L32" s="10"/>
    </row>
    <row r="33" customFormat="false" ht="15" hidden="false" customHeight="false" outlineLevel="0" collapsed="false">
      <c r="A33" s="8" t="str">
        <f aca="false">IF(C33="","","C"&amp;TEXT(ROW()-4,"0000"))</f>
        <v/>
      </c>
      <c r="B33" s="9"/>
      <c r="C33" s="10"/>
      <c r="D33" s="10"/>
      <c r="E33" s="10"/>
      <c r="F33" s="10"/>
      <c r="G33" s="10"/>
      <c r="H33" s="15"/>
      <c r="I33" s="16" t="str">
        <f aca="false">IF(C33="","",G33*H33)</f>
        <v/>
      </c>
      <c r="J33" s="10"/>
      <c r="K33" s="10"/>
      <c r="L33" s="10"/>
    </row>
    <row r="34" customFormat="false" ht="15" hidden="false" customHeight="false" outlineLevel="0" collapsed="false">
      <c r="A34" s="8" t="str">
        <f aca="false">IF(C34="","","C"&amp;TEXT(ROW()-4,"0000"))</f>
        <v/>
      </c>
      <c r="B34" s="9"/>
      <c r="C34" s="10"/>
      <c r="D34" s="10"/>
      <c r="E34" s="10"/>
      <c r="F34" s="10"/>
      <c r="G34" s="10"/>
      <c r="H34" s="15"/>
      <c r="I34" s="16" t="str">
        <f aca="false">IF(C34="","",G34*H34)</f>
        <v/>
      </c>
      <c r="J34" s="10"/>
      <c r="K34" s="10"/>
      <c r="L34" s="10"/>
    </row>
    <row r="36" customFormat="false" ht="15" hidden="false" customHeight="false" outlineLevel="0" collapsed="false">
      <c r="F36" s="13" t="s">
        <v>65</v>
      </c>
      <c r="I36" s="14" t="n">
        <f aca="false">SUM(I5:I34)</f>
        <v>900</v>
      </c>
    </row>
  </sheetData>
  <mergeCells count="2">
    <mergeCell ref="A1:L1"/>
    <mergeCell ref="A2:L2"/>
  </mergeCells>
  <dataValidations count="1">
    <dataValidation allowBlank="true" errorStyle="stop" operator="between" showDropDown="false" showErrorMessage="false" showInputMessage="false" sqref="K5:K34" type="list">
      <formula1>"Pendiente pedido,En fábrica,En tránsito,En aduana,Recibido"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5" t="s">
        <v>66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67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0" hidden="false" customHeight="true" outlineLevel="0" collapsed="false">
      <c r="A4" s="7" t="s">
        <v>22</v>
      </c>
      <c r="B4" s="7" t="s">
        <v>23</v>
      </c>
      <c r="C4" s="7" t="s">
        <v>68</v>
      </c>
      <c r="D4" s="7" t="s">
        <v>69</v>
      </c>
      <c r="E4" s="7" t="s">
        <v>53</v>
      </c>
      <c r="F4" s="7" t="s">
        <v>70</v>
      </c>
      <c r="G4" s="7" t="s">
        <v>71</v>
      </c>
      <c r="H4" s="7" t="s">
        <v>72</v>
      </c>
      <c r="I4" s="7" t="s">
        <v>73</v>
      </c>
      <c r="J4" s="7" t="s">
        <v>36</v>
      </c>
      <c r="K4" s="7" t="s">
        <v>37</v>
      </c>
    </row>
    <row r="5" customFormat="false" ht="15" hidden="false" customHeight="false" outlineLevel="0" collapsed="false">
      <c r="A5" s="8" t="str">
        <f aca="false">IF(C5="","","V"&amp;TEXT(ROW()-4,"0000"))</f>
        <v>V0001</v>
      </c>
      <c r="B5" s="9" t="s">
        <v>38</v>
      </c>
      <c r="C5" s="10" t="s">
        <v>74</v>
      </c>
      <c r="D5" s="10" t="s">
        <v>75</v>
      </c>
      <c r="E5" s="10" t="n">
        <v>50</v>
      </c>
      <c r="F5" s="15" t="n">
        <v>3500</v>
      </c>
      <c r="G5" s="12" t="n">
        <f aca="false">E5*F5</f>
        <v>175000</v>
      </c>
      <c r="H5" s="10" t="s">
        <v>76</v>
      </c>
      <c r="I5" s="10" t="s">
        <v>77</v>
      </c>
      <c r="J5" s="10" t="s">
        <v>78</v>
      </c>
      <c r="K5" s="10" t="s">
        <v>79</v>
      </c>
    </row>
    <row r="6" customFormat="false" ht="15" hidden="false" customHeight="false" outlineLevel="0" collapsed="false">
      <c r="A6" s="8" t="str">
        <f aca="false">IF(C6="","","V"&amp;TEXT(ROW()-4,"0000"))</f>
        <v/>
      </c>
      <c r="B6" s="9"/>
      <c r="C6" s="10"/>
      <c r="D6" s="10"/>
      <c r="E6" s="10"/>
      <c r="F6" s="15"/>
      <c r="G6" s="12" t="str">
        <f aca="false">IF(C6="","",E6*F6)</f>
        <v/>
      </c>
      <c r="H6" s="10"/>
      <c r="I6" s="10"/>
      <c r="J6" s="10"/>
      <c r="K6" s="10"/>
    </row>
    <row r="7" customFormat="false" ht="15" hidden="false" customHeight="false" outlineLevel="0" collapsed="false">
      <c r="A7" s="8" t="str">
        <f aca="false">IF(C7="","","V"&amp;TEXT(ROW()-4,"0000"))</f>
        <v/>
      </c>
      <c r="B7" s="9"/>
      <c r="C7" s="10"/>
      <c r="D7" s="10"/>
      <c r="E7" s="10"/>
      <c r="F7" s="15"/>
      <c r="G7" s="12" t="str">
        <f aca="false">IF(C7="","",E7*F7)</f>
        <v/>
      </c>
      <c r="H7" s="10"/>
      <c r="I7" s="10"/>
      <c r="J7" s="10"/>
      <c r="K7" s="10"/>
    </row>
    <row r="8" customFormat="false" ht="15" hidden="false" customHeight="false" outlineLevel="0" collapsed="false">
      <c r="A8" s="8" t="str">
        <f aca="false">IF(C8="","","V"&amp;TEXT(ROW()-4,"0000"))</f>
        <v/>
      </c>
      <c r="B8" s="9"/>
      <c r="C8" s="10"/>
      <c r="D8" s="10"/>
      <c r="E8" s="10"/>
      <c r="F8" s="15"/>
      <c r="G8" s="12" t="str">
        <f aca="false">IF(C8="","",E8*F8)</f>
        <v/>
      </c>
      <c r="H8" s="10"/>
      <c r="I8" s="10"/>
      <c r="J8" s="10"/>
      <c r="K8" s="10"/>
    </row>
    <row r="9" customFormat="false" ht="15" hidden="false" customHeight="false" outlineLevel="0" collapsed="false">
      <c r="A9" s="8" t="str">
        <f aca="false">IF(C9="","","V"&amp;TEXT(ROW()-4,"0000"))</f>
        <v/>
      </c>
      <c r="B9" s="9"/>
      <c r="C9" s="10"/>
      <c r="D9" s="10"/>
      <c r="E9" s="10"/>
      <c r="F9" s="15"/>
      <c r="G9" s="12" t="str">
        <f aca="false">IF(C9="","",E9*F9)</f>
        <v/>
      </c>
      <c r="H9" s="10"/>
      <c r="I9" s="10"/>
      <c r="J9" s="10"/>
      <c r="K9" s="10"/>
    </row>
    <row r="10" customFormat="false" ht="15" hidden="false" customHeight="false" outlineLevel="0" collapsed="false">
      <c r="A10" s="8" t="str">
        <f aca="false">IF(C10="","","V"&amp;TEXT(ROW()-4,"0000"))</f>
        <v/>
      </c>
      <c r="B10" s="9"/>
      <c r="C10" s="10"/>
      <c r="D10" s="10"/>
      <c r="E10" s="10"/>
      <c r="F10" s="15"/>
      <c r="G10" s="12" t="str">
        <f aca="false">IF(C10="","",E10*F10)</f>
        <v/>
      </c>
      <c r="H10" s="10"/>
      <c r="I10" s="10"/>
      <c r="J10" s="10"/>
      <c r="K10" s="10"/>
    </row>
    <row r="11" customFormat="false" ht="15" hidden="false" customHeight="false" outlineLevel="0" collapsed="false">
      <c r="A11" s="8" t="str">
        <f aca="false">IF(C11="","","V"&amp;TEXT(ROW()-4,"0000"))</f>
        <v/>
      </c>
      <c r="B11" s="9"/>
      <c r="C11" s="10"/>
      <c r="D11" s="10"/>
      <c r="E11" s="10"/>
      <c r="F11" s="15"/>
      <c r="G11" s="12" t="str">
        <f aca="false">IF(C11="","",E11*F11)</f>
        <v/>
      </c>
      <c r="H11" s="10"/>
      <c r="I11" s="10"/>
      <c r="J11" s="10"/>
      <c r="K11" s="10"/>
    </row>
    <row r="12" customFormat="false" ht="15" hidden="false" customHeight="false" outlineLevel="0" collapsed="false">
      <c r="A12" s="8" t="str">
        <f aca="false">IF(C12="","","V"&amp;TEXT(ROW()-4,"0000"))</f>
        <v/>
      </c>
      <c r="B12" s="9"/>
      <c r="C12" s="10"/>
      <c r="D12" s="10"/>
      <c r="E12" s="10"/>
      <c r="F12" s="15"/>
      <c r="G12" s="12" t="str">
        <f aca="false">IF(C12="","",E12*F12)</f>
        <v/>
      </c>
      <c r="H12" s="10"/>
      <c r="I12" s="10"/>
      <c r="J12" s="10"/>
      <c r="K12" s="10"/>
    </row>
    <row r="13" customFormat="false" ht="15" hidden="false" customHeight="false" outlineLevel="0" collapsed="false">
      <c r="A13" s="8" t="str">
        <f aca="false">IF(C13="","","V"&amp;TEXT(ROW()-4,"0000"))</f>
        <v/>
      </c>
      <c r="B13" s="9"/>
      <c r="C13" s="10"/>
      <c r="D13" s="10"/>
      <c r="E13" s="10"/>
      <c r="F13" s="15"/>
      <c r="G13" s="12" t="str">
        <f aca="false">IF(C13="","",E13*F13)</f>
        <v/>
      </c>
      <c r="H13" s="10"/>
      <c r="I13" s="10"/>
      <c r="J13" s="10"/>
      <c r="K13" s="10"/>
    </row>
    <row r="14" customFormat="false" ht="15" hidden="false" customHeight="false" outlineLevel="0" collapsed="false">
      <c r="A14" s="8" t="str">
        <f aca="false">IF(C14="","","V"&amp;TEXT(ROW()-4,"0000"))</f>
        <v/>
      </c>
      <c r="B14" s="9"/>
      <c r="C14" s="10"/>
      <c r="D14" s="10"/>
      <c r="E14" s="10"/>
      <c r="F14" s="15"/>
      <c r="G14" s="12" t="str">
        <f aca="false">IF(C14="","",E14*F14)</f>
        <v/>
      </c>
      <c r="H14" s="10"/>
      <c r="I14" s="10"/>
      <c r="J14" s="10"/>
      <c r="K14" s="10"/>
    </row>
    <row r="15" customFormat="false" ht="15" hidden="false" customHeight="false" outlineLevel="0" collapsed="false">
      <c r="A15" s="8" t="str">
        <f aca="false">IF(C15="","","V"&amp;TEXT(ROW()-4,"0000"))</f>
        <v/>
      </c>
      <c r="B15" s="9"/>
      <c r="C15" s="10"/>
      <c r="D15" s="10"/>
      <c r="E15" s="10"/>
      <c r="F15" s="15"/>
      <c r="G15" s="12" t="str">
        <f aca="false">IF(C15="","",E15*F15)</f>
        <v/>
      </c>
      <c r="H15" s="10"/>
      <c r="I15" s="10"/>
      <c r="J15" s="10"/>
      <c r="K15" s="10"/>
    </row>
    <row r="16" customFormat="false" ht="15" hidden="false" customHeight="false" outlineLevel="0" collapsed="false">
      <c r="A16" s="8" t="str">
        <f aca="false">IF(C16="","","V"&amp;TEXT(ROW()-4,"0000"))</f>
        <v/>
      </c>
      <c r="B16" s="9"/>
      <c r="C16" s="10"/>
      <c r="D16" s="10"/>
      <c r="E16" s="10"/>
      <c r="F16" s="15"/>
      <c r="G16" s="12" t="str">
        <f aca="false">IF(C16="","",E16*F16)</f>
        <v/>
      </c>
      <c r="H16" s="10"/>
      <c r="I16" s="10"/>
      <c r="J16" s="10"/>
      <c r="K16" s="10"/>
    </row>
    <row r="17" customFormat="false" ht="15" hidden="false" customHeight="false" outlineLevel="0" collapsed="false">
      <c r="A17" s="8" t="str">
        <f aca="false">IF(C17="","","V"&amp;TEXT(ROW()-4,"0000"))</f>
        <v/>
      </c>
      <c r="B17" s="9"/>
      <c r="C17" s="10"/>
      <c r="D17" s="10"/>
      <c r="E17" s="10"/>
      <c r="F17" s="15"/>
      <c r="G17" s="12" t="str">
        <f aca="false">IF(C17="","",E17*F17)</f>
        <v/>
      </c>
      <c r="H17" s="10"/>
      <c r="I17" s="10"/>
      <c r="J17" s="10"/>
      <c r="K17" s="10"/>
    </row>
    <row r="18" customFormat="false" ht="15" hidden="false" customHeight="false" outlineLevel="0" collapsed="false">
      <c r="A18" s="8" t="str">
        <f aca="false">IF(C18="","","V"&amp;TEXT(ROW()-4,"0000"))</f>
        <v/>
      </c>
      <c r="B18" s="9"/>
      <c r="C18" s="10"/>
      <c r="D18" s="10"/>
      <c r="E18" s="10"/>
      <c r="F18" s="15"/>
      <c r="G18" s="12" t="str">
        <f aca="false">IF(C18="","",E18*F18)</f>
        <v/>
      </c>
      <c r="H18" s="10"/>
      <c r="I18" s="10"/>
      <c r="J18" s="10"/>
      <c r="K18" s="10"/>
    </row>
    <row r="19" customFormat="false" ht="15" hidden="false" customHeight="false" outlineLevel="0" collapsed="false">
      <c r="A19" s="8" t="str">
        <f aca="false">IF(C19="","","V"&amp;TEXT(ROW()-4,"0000"))</f>
        <v/>
      </c>
      <c r="B19" s="9"/>
      <c r="C19" s="10"/>
      <c r="D19" s="10"/>
      <c r="E19" s="10"/>
      <c r="F19" s="15"/>
      <c r="G19" s="12" t="str">
        <f aca="false">IF(C19="","",E19*F19)</f>
        <v/>
      </c>
      <c r="H19" s="10"/>
      <c r="I19" s="10"/>
      <c r="J19" s="10"/>
      <c r="K19" s="10"/>
    </row>
    <row r="20" customFormat="false" ht="15" hidden="false" customHeight="false" outlineLevel="0" collapsed="false">
      <c r="A20" s="8" t="str">
        <f aca="false">IF(C20="","","V"&amp;TEXT(ROW()-4,"0000"))</f>
        <v/>
      </c>
      <c r="B20" s="9"/>
      <c r="C20" s="10"/>
      <c r="D20" s="10"/>
      <c r="E20" s="10"/>
      <c r="F20" s="15"/>
      <c r="G20" s="12" t="str">
        <f aca="false">IF(C20="","",E20*F20)</f>
        <v/>
      </c>
      <c r="H20" s="10"/>
      <c r="I20" s="10"/>
      <c r="J20" s="10"/>
      <c r="K20" s="10"/>
    </row>
    <row r="21" customFormat="false" ht="15" hidden="false" customHeight="false" outlineLevel="0" collapsed="false">
      <c r="A21" s="8" t="str">
        <f aca="false">IF(C21="","","V"&amp;TEXT(ROW()-4,"0000"))</f>
        <v/>
      </c>
      <c r="B21" s="9"/>
      <c r="C21" s="10"/>
      <c r="D21" s="10"/>
      <c r="E21" s="10"/>
      <c r="F21" s="15"/>
      <c r="G21" s="12" t="str">
        <f aca="false">IF(C21="","",E21*F21)</f>
        <v/>
      </c>
      <c r="H21" s="10"/>
      <c r="I21" s="10"/>
      <c r="J21" s="10"/>
      <c r="K21" s="10"/>
    </row>
    <row r="22" customFormat="false" ht="15" hidden="false" customHeight="false" outlineLevel="0" collapsed="false">
      <c r="A22" s="8" t="str">
        <f aca="false">IF(C22="","","V"&amp;TEXT(ROW()-4,"0000"))</f>
        <v/>
      </c>
      <c r="B22" s="9"/>
      <c r="C22" s="10"/>
      <c r="D22" s="10"/>
      <c r="E22" s="10"/>
      <c r="F22" s="15"/>
      <c r="G22" s="12" t="str">
        <f aca="false">IF(C22="","",E22*F22)</f>
        <v/>
      </c>
      <c r="H22" s="10"/>
      <c r="I22" s="10"/>
      <c r="J22" s="10"/>
      <c r="K22" s="10"/>
    </row>
    <row r="23" customFormat="false" ht="15" hidden="false" customHeight="false" outlineLevel="0" collapsed="false">
      <c r="A23" s="8" t="str">
        <f aca="false">IF(C23="","","V"&amp;TEXT(ROW()-4,"0000"))</f>
        <v/>
      </c>
      <c r="B23" s="9"/>
      <c r="C23" s="10"/>
      <c r="D23" s="10"/>
      <c r="E23" s="10"/>
      <c r="F23" s="15"/>
      <c r="G23" s="12" t="str">
        <f aca="false">IF(C23="","",E23*F23)</f>
        <v/>
      </c>
      <c r="H23" s="10"/>
      <c r="I23" s="10"/>
      <c r="J23" s="10"/>
      <c r="K23" s="10"/>
    </row>
    <row r="24" customFormat="false" ht="15" hidden="false" customHeight="false" outlineLevel="0" collapsed="false">
      <c r="A24" s="8" t="str">
        <f aca="false">IF(C24="","","V"&amp;TEXT(ROW()-4,"0000"))</f>
        <v/>
      </c>
      <c r="B24" s="9"/>
      <c r="C24" s="10"/>
      <c r="D24" s="10"/>
      <c r="E24" s="10"/>
      <c r="F24" s="15"/>
      <c r="G24" s="12" t="str">
        <f aca="false">IF(C24="","",E24*F24)</f>
        <v/>
      </c>
      <c r="H24" s="10"/>
      <c r="I24" s="10"/>
      <c r="J24" s="10"/>
      <c r="K24" s="10"/>
    </row>
    <row r="25" customFormat="false" ht="15" hidden="false" customHeight="false" outlineLevel="0" collapsed="false">
      <c r="A25" s="8" t="str">
        <f aca="false">IF(C25="","","V"&amp;TEXT(ROW()-4,"0000"))</f>
        <v/>
      </c>
      <c r="B25" s="9"/>
      <c r="C25" s="10"/>
      <c r="D25" s="10"/>
      <c r="E25" s="10"/>
      <c r="F25" s="15"/>
      <c r="G25" s="12" t="str">
        <f aca="false">IF(C25="","",E25*F25)</f>
        <v/>
      </c>
      <c r="H25" s="10"/>
      <c r="I25" s="10"/>
      <c r="J25" s="10"/>
      <c r="K25" s="10"/>
    </row>
    <row r="26" customFormat="false" ht="15" hidden="false" customHeight="false" outlineLevel="0" collapsed="false">
      <c r="A26" s="8" t="str">
        <f aca="false">IF(C26="","","V"&amp;TEXT(ROW()-4,"0000"))</f>
        <v/>
      </c>
      <c r="B26" s="9"/>
      <c r="C26" s="10"/>
      <c r="D26" s="10"/>
      <c r="E26" s="10"/>
      <c r="F26" s="15"/>
      <c r="G26" s="12" t="str">
        <f aca="false">IF(C26="","",E26*F26)</f>
        <v/>
      </c>
      <c r="H26" s="10"/>
      <c r="I26" s="10"/>
      <c r="J26" s="10"/>
      <c r="K26" s="10"/>
    </row>
    <row r="27" customFormat="false" ht="15" hidden="false" customHeight="false" outlineLevel="0" collapsed="false">
      <c r="A27" s="8" t="str">
        <f aca="false">IF(C27="","","V"&amp;TEXT(ROW()-4,"0000"))</f>
        <v/>
      </c>
      <c r="B27" s="9"/>
      <c r="C27" s="10"/>
      <c r="D27" s="10"/>
      <c r="E27" s="10"/>
      <c r="F27" s="15"/>
      <c r="G27" s="12" t="str">
        <f aca="false">IF(C27="","",E27*F27)</f>
        <v/>
      </c>
      <c r="H27" s="10"/>
      <c r="I27" s="10"/>
      <c r="J27" s="10"/>
      <c r="K27" s="10"/>
    </row>
    <row r="28" customFormat="false" ht="15" hidden="false" customHeight="false" outlineLevel="0" collapsed="false">
      <c r="A28" s="8" t="str">
        <f aca="false">IF(C28="","","V"&amp;TEXT(ROW()-4,"0000"))</f>
        <v/>
      </c>
      <c r="B28" s="9"/>
      <c r="C28" s="10"/>
      <c r="D28" s="10"/>
      <c r="E28" s="10"/>
      <c r="F28" s="15"/>
      <c r="G28" s="12" t="str">
        <f aca="false">IF(C28="","",E28*F28)</f>
        <v/>
      </c>
      <c r="H28" s="10"/>
      <c r="I28" s="10"/>
      <c r="J28" s="10"/>
      <c r="K28" s="10"/>
    </row>
    <row r="29" customFormat="false" ht="15" hidden="false" customHeight="false" outlineLevel="0" collapsed="false">
      <c r="A29" s="8" t="str">
        <f aca="false">IF(C29="","","V"&amp;TEXT(ROW()-4,"0000"))</f>
        <v/>
      </c>
      <c r="B29" s="9"/>
      <c r="C29" s="10"/>
      <c r="D29" s="10"/>
      <c r="E29" s="10"/>
      <c r="F29" s="15"/>
      <c r="G29" s="12" t="str">
        <f aca="false">IF(C29="","",E29*F29)</f>
        <v/>
      </c>
      <c r="H29" s="10"/>
      <c r="I29" s="10"/>
      <c r="J29" s="10"/>
      <c r="K29" s="10"/>
    </row>
    <row r="30" customFormat="false" ht="15" hidden="false" customHeight="false" outlineLevel="0" collapsed="false">
      <c r="A30" s="8" t="str">
        <f aca="false">IF(C30="","","V"&amp;TEXT(ROW()-4,"0000"))</f>
        <v/>
      </c>
      <c r="B30" s="9"/>
      <c r="C30" s="10"/>
      <c r="D30" s="10"/>
      <c r="E30" s="10"/>
      <c r="F30" s="15"/>
      <c r="G30" s="12" t="str">
        <f aca="false">IF(C30="","",E30*F30)</f>
        <v/>
      </c>
      <c r="H30" s="10"/>
      <c r="I30" s="10"/>
      <c r="J30" s="10"/>
      <c r="K30" s="10"/>
    </row>
    <row r="31" customFormat="false" ht="15" hidden="false" customHeight="false" outlineLevel="0" collapsed="false">
      <c r="A31" s="8" t="str">
        <f aca="false">IF(C31="","","V"&amp;TEXT(ROW()-4,"0000"))</f>
        <v/>
      </c>
      <c r="B31" s="9"/>
      <c r="C31" s="10"/>
      <c r="D31" s="10"/>
      <c r="E31" s="10"/>
      <c r="F31" s="15"/>
      <c r="G31" s="12" t="str">
        <f aca="false">IF(C31="","",E31*F31)</f>
        <v/>
      </c>
      <c r="H31" s="10"/>
      <c r="I31" s="10"/>
      <c r="J31" s="10"/>
      <c r="K31" s="10"/>
    </row>
    <row r="32" customFormat="false" ht="15" hidden="false" customHeight="false" outlineLevel="0" collapsed="false">
      <c r="A32" s="8" t="str">
        <f aca="false">IF(C32="","","V"&amp;TEXT(ROW()-4,"0000"))</f>
        <v/>
      </c>
      <c r="B32" s="9"/>
      <c r="C32" s="10"/>
      <c r="D32" s="10"/>
      <c r="E32" s="10"/>
      <c r="F32" s="15"/>
      <c r="G32" s="12" t="str">
        <f aca="false">IF(C32="","",E32*F32)</f>
        <v/>
      </c>
      <c r="H32" s="10"/>
      <c r="I32" s="10"/>
      <c r="J32" s="10"/>
      <c r="K32" s="10"/>
    </row>
    <row r="33" customFormat="false" ht="15" hidden="false" customHeight="false" outlineLevel="0" collapsed="false">
      <c r="A33" s="8" t="str">
        <f aca="false">IF(C33="","","V"&amp;TEXT(ROW()-4,"0000"))</f>
        <v/>
      </c>
      <c r="B33" s="9"/>
      <c r="C33" s="10"/>
      <c r="D33" s="10"/>
      <c r="E33" s="10"/>
      <c r="F33" s="15"/>
      <c r="G33" s="12" t="str">
        <f aca="false">IF(C33="","",E33*F33)</f>
        <v/>
      </c>
      <c r="H33" s="10"/>
      <c r="I33" s="10"/>
      <c r="J33" s="10"/>
      <c r="K33" s="10"/>
    </row>
    <row r="34" customFormat="false" ht="15" hidden="false" customHeight="false" outlineLevel="0" collapsed="false">
      <c r="A34" s="8" t="str">
        <f aca="false">IF(C34="","","V"&amp;TEXT(ROW()-4,"0000"))</f>
        <v/>
      </c>
      <c r="B34" s="9"/>
      <c r="C34" s="10"/>
      <c r="D34" s="10"/>
      <c r="E34" s="10"/>
      <c r="F34" s="15"/>
      <c r="G34" s="12" t="str">
        <f aca="false">IF(C34="","",E34*F34)</f>
        <v/>
      </c>
      <c r="H34" s="10"/>
      <c r="I34" s="10"/>
      <c r="J34" s="10"/>
      <c r="K34" s="10"/>
    </row>
    <row r="36" customFormat="false" ht="15" hidden="false" customHeight="false" outlineLevel="0" collapsed="false">
      <c r="D36" s="13" t="s">
        <v>80</v>
      </c>
      <c r="G36" s="14" t="n">
        <f aca="false">SUM(G5:G34)</f>
        <v>175000</v>
      </c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H5:H34" type="list">
      <formula1>"Efectivo,Transferencia,Mercado Pago,Tarjeta,Otro"</formula1>
      <formula2>0</formula2>
    </dataValidation>
    <dataValidation allowBlank="true" errorStyle="stop" operator="between" showDropDown="false" showErrorMessage="false" showInputMessage="false" sqref="J5:J34" type="list">
      <formula1>"Cobrado,Pendiente,Parcial"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6"/>
  </cols>
  <sheetData>
    <row r="2" customFormat="false" ht="17.35" hidden="false" customHeight="false" outlineLevel="0" collapsed="false">
      <c r="B2" s="1" t="s">
        <v>81</v>
      </c>
    </row>
    <row r="3" customFormat="false" ht="15" hidden="false" customHeight="false" outlineLevel="0" collapsed="false">
      <c r="B3" s="2" t="s">
        <v>82</v>
      </c>
    </row>
    <row r="5" customFormat="false" ht="15" hidden="false" customHeight="false" outlineLevel="0" collapsed="false">
      <c r="B5" s="14" t="s">
        <v>83</v>
      </c>
      <c r="D5" s="17" t="n">
        <v>0.65</v>
      </c>
    </row>
    <row r="6" customFormat="false" ht="15" hidden="false" customHeight="false" outlineLevel="0" collapsed="false">
      <c r="B6" s="14" t="s">
        <v>84</v>
      </c>
      <c r="D6" s="17" t="n">
        <v>0.35</v>
      </c>
    </row>
    <row r="8" customFormat="false" ht="15" hidden="false" customHeight="false" outlineLevel="0" collapsed="false">
      <c r="B8" s="18" t="s">
        <v>85</v>
      </c>
      <c r="D8" s="19" t="n">
        <f aca="false">D5+D6</f>
        <v>1</v>
      </c>
    </row>
    <row r="11" customFormat="false" ht="15" hidden="false" customHeight="false" outlineLevel="0" collapsed="false">
      <c r="B11" s="20" t="s">
        <v>86</v>
      </c>
    </row>
    <row r="12" customFormat="false" ht="15" hidden="false" customHeight="false" outlineLevel="0" collapsed="false">
      <c r="B12" s="21"/>
      <c r="C12" s="21" t="s">
        <v>87</v>
      </c>
      <c r="D12" s="21" t="s">
        <v>88</v>
      </c>
      <c r="E12" s="21" t="s">
        <v>89</v>
      </c>
    </row>
    <row r="13" customFormat="false" ht="15" hidden="false" customHeight="false" outlineLevel="0" collapsed="false">
      <c r="B13" s="22" t="s">
        <v>90</v>
      </c>
      <c r="C13" s="23" t="n">
        <f aca="false">Pagos_Aportes!J36</f>
        <v>845000</v>
      </c>
      <c r="D13" s="23" t="n">
        <f aca="false">Pagos_Aportes!K36</f>
        <v>455000</v>
      </c>
      <c r="E13" s="23" t="n">
        <f aca="false">C13+D13</f>
        <v>1300000</v>
      </c>
    </row>
    <row r="14" customFormat="false" ht="15" hidden="false" customHeight="false" outlineLevel="0" collapsed="false">
      <c r="B14" s="22" t="s">
        <v>91</v>
      </c>
      <c r="C14" s="23" t="n">
        <f aca="false">Pagos_Aportes!L36</f>
        <v>1300000</v>
      </c>
      <c r="D14" s="23" t="n">
        <f aca="false">Pagos_Aportes!M36</f>
        <v>0</v>
      </c>
      <c r="E14" s="23" t="n">
        <f aca="false">C14+D14</f>
        <v>1300000</v>
      </c>
    </row>
    <row r="15" customFormat="false" ht="15" hidden="false" customHeight="false" outlineLevel="0" collapsed="false">
      <c r="B15" s="22" t="s">
        <v>92</v>
      </c>
      <c r="C15" s="23" t="n">
        <f aca="false">C14-C13</f>
        <v>455000</v>
      </c>
      <c r="D15" s="23" t="n">
        <f aca="false">D14-D13</f>
        <v>-455000</v>
      </c>
      <c r="E15" s="23" t="n">
        <f aca="false">C15+D15</f>
        <v>0</v>
      </c>
    </row>
    <row r="17" customFormat="false" ht="15" hidden="false" customHeight="false" outlineLevel="0" collapsed="false">
      <c r="B17" s="18" t="s">
        <v>93</v>
      </c>
    </row>
    <row r="18" customFormat="false" ht="27.75" hidden="false" customHeight="true" outlineLevel="0" collapsed="false">
      <c r="B18" s="24" t="s">
        <v>94</v>
      </c>
      <c r="C18" s="24"/>
      <c r="D18" s="24"/>
      <c r="E18" s="24"/>
      <c r="F18" s="24"/>
    </row>
    <row r="21" customFormat="false" ht="15" hidden="false" customHeight="false" outlineLevel="0" collapsed="false">
      <c r="B21" s="20" t="s">
        <v>95</v>
      </c>
    </row>
    <row r="22" customFormat="false" ht="15" hidden="false" customHeight="false" outlineLevel="0" collapsed="false">
      <c r="B22" s="22" t="s">
        <v>96</v>
      </c>
      <c r="D22" s="23" t="n">
        <f aca="false">Ventas_Ingresos!G36</f>
        <v>175000</v>
      </c>
    </row>
    <row r="23" customFormat="false" ht="15" hidden="false" customHeight="false" outlineLevel="0" collapsed="false">
      <c r="B23" s="22" t="s">
        <v>97</v>
      </c>
      <c r="D23" s="23" t="n">
        <f aca="false">Pagos_Aportes!H36</f>
        <v>1300000</v>
      </c>
    </row>
    <row r="24" customFormat="false" ht="15" hidden="false" customHeight="false" outlineLevel="0" collapsed="false">
      <c r="B24" s="25" t="s">
        <v>98</v>
      </c>
      <c r="D24" s="23" t="n">
        <f aca="false">D22-D23</f>
        <v>-1125000</v>
      </c>
    </row>
    <row r="25" customFormat="false" ht="15" hidden="false" customHeight="false" outlineLevel="0" collapsed="false">
      <c r="B25" s="25" t="s">
        <v>99</v>
      </c>
      <c r="D25" s="23" t="n">
        <f aca="false">D24*D5</f>
        <v>-731250</v>
      </c>
    </row>
    <row r="26" customFormat="false" ht="15" hidden="false" customHeight="false" outlineLevel="0" collapsed="false">
      <c r="B26" s="25" t="s">
        <v>100</v>
      </c>
      <c r="D26" s="23" t="n">
        <f aca="false">D24*D6</f>
        <v>-393750</v>
      </c>
    </row>
  </sheetData>
  <mergeCells count="1"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2026-08-27T22:52:43Z</dcterms:created>
  <dc:creator>openpyxl</dc:creator>
  <dc:description/>
  <dc:language>en-US</dc:language>
  <cp:lastModifiedBy/>
  <dcterms:modified xsi:type="dcterms:W3CDTF">2026-08-27T22:52:43Z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